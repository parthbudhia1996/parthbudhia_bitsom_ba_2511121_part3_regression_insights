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3_regression_insights\analysis\"/>
    </mc:Choice>
  </mc:AlternateContent>
  <xr:revisionPtr revIDLastSave="0" documentId="13_ncr:1_{C2D504A2-0E61-4EBC-B9CB-500CB33E0F48}" xr6:coauthVersionLast="47" xr6:coauthVersionMax="47" xr10:uidLastSave="{00000000-0000-0000-0000-000000000000}"/>
  <bookViews>
    <workbookView xWindow="-120" yWindow="-120" windowWidth="20730" windowHeight="11160" xr2:uid="{DBC0E0E1-878A-4376-8A6A-833FAE5E7C3F}"/>
  </bookViews>
  <sheets>
    <sheet name="Original Dataset Sheet" sheetId="1" r:id="rId1"/>
    <sheet name="Cleaned Data Sheet" sheetId="2" r:id="rId2"/>
    <sheet name="Dummy Variable Sheet" sheetId="3" r:id="rId3"/>
    <sheet name="Single Regression Outputs1" sheetId="4" r:id="rId4"/>
    <sheet name="Single Regression Outputs2" sheetId="23" r:id="rId5"/>
    <sheet name="Multiple Regression Outputs" sheetId="19" r:id="rId6"/>
    <sheet name="Predictions and Residuals Sheet" sheetId="11" r:id="rId7"/>
    <sheet name="Model Comparison Sheet" sheetId="24" r:id="rId8"/>
  </sheets>
  <definedNames>
    <definedName name="_xlnm._FilterDatabase" localSheetId="1" hidden="1">'Cleaned Data Sheet'!$A$1:$N$307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2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</calcChain>
</file>

<file path=xl/sharedStrings.xml><?xml version="1.0" encoding="utf-8"?>
<sst xmlns="http://schemas.openxmlformats.org/spreadsheetml/2006/main" count="2979" uniqueCount="156">
  <si>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</si>
  <si>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</si>
  <si>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</si>
  <si>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</si>
  <si>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</si>
  <si>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</si>
  <si>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</si>
  <si>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</si>
  <si>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</si>
  <si>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</si>
  <si>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</si>
  <si>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</si>
  <si>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</si>
  <si>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</si>
  <si>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</si>
  <si>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</si>
  <si>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</si>
  <si>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</si>
  <si>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</si>
  <si>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</si>
  <si>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</si>
  <si>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</si>
  <si>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</si>
  <si>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</si>
  <si>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</si>
  <si>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</si>
  <si>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</si>
  <si>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</si>
  <si>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</si>
  <si>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</si>
  <si>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</si>
  <si>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</si>
  <si>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</si>
  <si>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</si>
  <si>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</si>
  <si>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</si>
  <si>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</si>
  <si>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</si>
  <si>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</si>
  <si>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</si>
  <si>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</si>
  <si>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</si>
  <si>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</si>
  <si>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</si>
  <si>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</si>
  <si>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</si>
  <si>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</si>
  <si>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</si>
  <si>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</si>
  <si>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</si>
  <si>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</si>
  <si>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</si>
  <si>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</si>
  <si>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</si>
  <si>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</si>
  <si>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</si>
  <si>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</si>
  <si>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</si>
  <si>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</si>
  <si>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</si>
  <si>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</si>
  <si>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</si>
  <si>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</si>
  <si>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</si>
  <si>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</si>
  <si>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</si>
  <si>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</si>
  <si>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</si>
  <si>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</si>
  <si>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</si>
  <si>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</si>
  <si>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</si>
  <si>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</si>
  <si>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</si>
  <si>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</si>
  <si>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</si>
  <si>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</si>
  <si>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</si>
  <si>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</si>
  <si>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</si>
  <si>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</si>
  <si>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</si>
  <si>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</si>
  <si>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</si>
  <si>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</si>
  <si>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</si>
  <si>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</si>
  <si>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</si>
  <si>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</si>
  <si>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</si>
  <si>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</si>
  <si>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</si>
  <si>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</si>
  <si>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</si>
  <si>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</si>
  <si>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</si>
  <si>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</si>
  <si>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</si>
  <si>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</si>
  <si>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</si>
  <si>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</si>
  <si>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</si>
  <si>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store_type_Mall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</si>
  <si>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</si>
  <si>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</si>
  <si>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</si>
  <si>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</si>
  <si>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</si>
  <si>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</si>
  <si>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</si>
  <si>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</si>
  <si>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</si>
  <si>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</si>
  <si>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</si>
  <si>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</si>
  <si>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</si>
  <si>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</si>
  <si>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</si>
  <si>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</si>
  <si>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</si>
  <si>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</si>
  <si>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</si>
  <si>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</si>
  <si>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</si>
  <si>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</si>
  <si>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</si>
  <si>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</si>
  <si>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</si>
  <si>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</si>
  <si>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</si>
  <si>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</si>
  <si>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store_type_High_Street</t>
  </si>
  <si>
    <t>store_type_Residential</t>
  </si>
  <si>
    <t>Actual Sales</t>
  </si>
  <si>
    <t>Operational Metric / Variable</t>
  </si>
  <si>
    <t>Model 1: Simple Marketing</t>
  </si>
  <si>
    <t>Model 2: Simple Footfall</t>
  </si>
  <si>
    <t>Model 3: Final Multiple Regression</t>
  </si>
  <si>
    <t>Total Observations</t>
  </si>
  <si>
    <t>—</t>
  </si>
  <si>
    <t>R-Squared (R^2)</t>
  </si>
  <si>
    <t>Adjusted R^2</t>
  </si>
  <si>
    <t>567463.560336524(P &lt; 0.001)</t>
  </si>
  <si>
    <t>2.0519315848669(P &lt; 0.001)</t>
  </si>
  <si>
    <t>447699.032737278(P &lt; 0.001)</t>
  </si>
  <si>
    <t>35.6415309199011(P &lt; 0.001)</t>
  </si>
  <si>
    <t>163378.748052799(P &lt; 0.001)</t>
  </si>
  <si>
    <t>1.17303503174968(P &lt; 0.001)</t>
  </si>
  <si>
    <t>33.6004288699003(P &lt; 0.001)</t>
  </si>
  <si>
    <t>-37246.1118205051(P &lt; 0.001)</t>
  </si>
  <si>
    <t>2876.51568080565(P &lt; 0.001)</t>
  </si>
  <si>
    <t>-11351.01080131(P = 0.25)</t>
  </si>
  <si>
    <t>-22750.6571644638(P = 0.01)</t>
  </si>
  <si>
    <t>Sorted Residual in Descending Order</t>
  </si>
  <si>
    <t>MODEL COMPARISON</t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</si>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</sst>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left" vertical="center" indent="1" readingOrder="1"/>
    </xf>
    <xf numFmtId="0" fontId="4" fillId="0" borderId="3" xfId="0" applyFont="1" applyBorder="1" applyAlignment="1">
      <alignment horizontal="left" vertical="center" indent="1" readingOrder="1"/>
    </xf>
    <xf numFmtId="0" fontId="6" fillId="0" borderId="3" xfId="0" applyFont="1" applyBorder="1" applyAlignment="1">
      <alignment horizontal="left" vertical="center" indent="1" readingOrder="1"/>
    </xf>
    <xf numFmtId="11" fontId="0" fillId="0" borderId="0" xfId="0" applyNumberFormat="1"/>
    <xf numFmtId="0" fontId="0" fillId="0" borderId="1" xfId="0" quotePrefix="1" applyBorder="1"/>
    <xf numFmtId="0" fontId="0" fillId="0" borderId="0" xfId="0" quotePrefix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5012-46CC-49D6-9FD8-AD5CD6AA17AE}">
  <dimension ref="A1:N321"/>
  <sheetViews>
    <sheetView tabSelected="1" workbookViewId="0"/>
  </sheetViews>
  <sheetFormatPr defaultRowHeight="15"/>
  <cols>
    <col min="1" max="1" width="9.28515625" bestFit="1" customWidth="1"/>
    <col min="2" max="2" width="7.7109375" bestFit="1" customWidth="1"/>
    <col min="3" max="3" width="7.5703125" bestFit="1" customWidth="1"/>
    <col min="4" max="4" width="11.7109375" bestFit="1" customWidth="1"/>
    <col min="5" max="5" width="18.7109375" bestFit="1" customWidth="1"/>
    <col min="6" max="6" width="8" bestFit="1" customWidth="1"/>
    <col min="7" max="7" width="19.140625" bestFit="1" customWidth="1"/>
    <col min="8" max="8" width="12.28515625" bestFit="1" customWidth="1"/>
    <col min="9" max="9" width="27.140625" bestFit="1" customWidth="1"/>
    <col min="10" max="10" width="26.140625" bestFit="1" customWidth="1"/>
    <col min="11" max="11" width="13.140625" bestFit="1" customWidth="1"/>
    <col min="12" max="12" width="17.7109375" bestFit="1" customWidth="1"/>
    <col min="13" max="13" width="15.42578125" bestFit="1" customWidth="1"/>
    <col min="14" max="14" width="15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0CA-0869-425A-960D-3E530B5AD580}">
  <dimension ref="A1:N307"/>
  <sheetViews>
    <sheetView workbookViewId="0"/>
  </sheetViews>
  <sheetFormatPr defaultRowHeight="15"/>
  <cols>
    <col min="1" max="1" width="9.28515625" bestFit="1" customWidth="1"/>
    <col min="2" max="2" width="7.7109375" bestFit="1" customWidth="1"/>
    <col min="3" max="3" width="7.5703125" bestFit="1" customWidth="1"/>
    <col min="4" max="4" width="11.7109375" bestFit="1" customWidth="1"/>
    <col min="5" max="5" width="18.7109375" bestFit="1" customWidth="1"/>
    <col min="6" max="6" width="8" bestFit="1" customWidth="1"/>
    <col min="7" max="7" width="19.140625" bestFit="1" customWidth="1"/>
    <col min="8" max="8" width="12.28515625" bestFit="1" customWidth="1"/>
    <col min="9" max="9" width="27.140625" bestFit="1" customWidth="1"/>
    <col min="10" max="10" width="26.140625" bestFit="1" customWidth="1"/>
    <col min="11" max="11" width="13.140625" bestFit="1" customWidth="1"/>
    <col min="12" max="12" width="17.7109375" bestFit="1" customWidth="1"/>
    <col min="13" max="13" width="15.42578125" bestFit="1" customWidth="1"/>
    <col min="14" max="14" width="15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45717</v>
      </c>
      <c r="C35" t="s">
        <v>20</v>
      </c>
      <c r="D35" t="s">
        <v>16</v>
      </c>
      <c r="E35">
        <v>74413.88</v>
      </c>
      <c r="F35">
        <v>9449</v>
      </c>
      <c r="G35">
        <v>3.9E-2</v>
      </c>
      <c r="H35">
        <v>23</v>
      </c>
      <c r="I35">
        <v>92.1</v>
      </c>
      <c r="J35">
        <v>2.12</v>
      </c>
      <c r="K35">
        <v>0</v>
      </c>
      <c r="L35">
        <v>3.5</v>
      </c>
      <c r="M35">
        <v>798952.17</v>
      </c>
      <c r="N35">
        <v>161499.04</v>
      </c>
    </row>
    <row r="36" spans="1:14">
      <c r="A36" t="s">
        <v>30</v>
      </c>
      <c r="B36" s="2">
        <v>45748</v>
      </c>
      <c r="C36" t="s">
        <v>20</v>
      </c>
      <c r="D36" t="s">
        <v>16</v>
      </c>
      <c r="E36">
        <v>52483.77</v>
      </c>
      <c r="F36">
        <v>10453</v>
      </c>
      <c r="G36">
        <v>0.247</v>
      </c>
      <c r="H36">
        <v>25</v>
      </c>
      <c r="I36">
        <v>99</v>
      </c>
      <c r="J36">
        <v>6.31</v>
      </c>
      <c r="K36">
        <v>0</v>
      </c>
      <c r="L36">
        <v>3.6</v>
      </c>
      <c r="M36">
        <v>800979.78</v>
      </c>
      <c r="N36">
        <v>149242.26999999999</v>
      </c>
    </row>
    <row r="37" spans="1:14">
      <c r="A37" t="s">
        <v>31</v>
      </c>
      <c r="B37" s="2">
        <v>45658</v>
      </c>
      <c r="C37" t="s">
        <v>20</v>
      </c>
      <c r="D37" t="s">
        <v>28</v>
      </c>
      <c r="E37">
        <v>75269.87</v>
      </c>
      <c r="F37">
        <v>8838</v>
      </c>
      <c r="G37">
        <v>9.1999999999999998E-2</v>
      </c>
      <c r="H37">
        <v>21</v>
      </c>
      <c r="I37">
        <v>83.1</v>
      </c>
      <c r="J37">
        <v>9.56</v>
      </c>
      <c r="K37">
        <v>1</v>
      </c>
      <c r="L37">
        <v>4.2</v>
      </c>
      <c r="M37">
        <v>820593.93</v>
      </c>
      <c r="N37">
        <v>115860.06</v>
      </c>
    </row>
    <row r="38" spans="1:14">
      <c r="A38" t="s">
        <v>31</v>
      </c>
      <c r="B38" s="2">
        <v>45689</v>
      </c>
      <c r="C38" t="s">
        <v>20</v>
      </c>
      <c r="D38" t="s">
        <v>28</v>
      </c>
      <c r="E38">
        <v>61245.41</v>
      </c>
      <c r="F38">
        <v>8156</v>
      </c>
      <c r="G38">
        <v>0.156</v>
      </c>
      <c r="H38">
        <v>19</v>
      </c>
      <c r="I38">
        <v>92.9</v>
      </c>
      <c r="J38">
        <v>9.0500000000000007</v>
      </c>
      <c r="K38">
        <v>0</v>
      </c>
      <c r="L38">
        <v>3.8</v>
      </c>
      <c r="M38">
        <v>718330.53</v>
      </c>
      <c r="N38">
        <v>93247.9</v>
      </c>
    </row>
    <row r="39" spans="1:14">
      <c r="A39" t="s">
        <v>31</v>
      </c>
      <c r="B39" s="2">
        <v>45717</v>
      </c>
      <c r="C39" t="s">
        <v>20</v>
      </c>
      <c r="D39" t="s">
        <v>28</v>
      </c>
      <c r="E39">
        <v>93381.26</v>
      </c>
      <c r="F39">
        <v>7562</v>
      </c>
      <c r="G39">
        <v>0.19800000000000001</v>
      </c>
      <c r="H39">
        <v>19</v>
      </c>
      <c r="I39">
        <v>82.9</v>
      </c>
      <c r="J39">
        <v>5.05</v>
      </c>
      <c r="K39">
        <v>0</v>
      </c>
      <c r="L39">
        <v>4</v>
      </c>
      <c r="M39">
        <v>736633.4</v>
      </c>
      <c r="N39">
        <v>115654.66</v>
      </c>
    </row>
    <row r="40" spans="1:14">
      <c r="A40" t="s">
        <v>31</v>
      </c>
      <c r="B40" s="2">
        <v>45748</v>
      </c>
      <c r="C40" t="s">
        <v>20</v>
      </c>
      <c r="D40" t="s">
        <v>28</v>
      </c>
      <c r="E40">
        <v>65012.19</v>
      </c>
      <c r="F40">
        <v>9598</v>
      </c>
      <c r="G40">
        <v>8.5000000000000006E-2</v>
      </c>
      <c r="H40">
        <v>24</v>
      </c>
      <c r="I40">
        <v>98.3</v>
      </c>
      <c r="J40">
        <v>0.89</v>
      </c>
      <c r="K40">
        <v>0</v>
      </c>
      <c r="L40">
        <v>3.8</v>
      </c>
      <c r="M40">
        <v>828623.85</v>
      </c>
      <c r="N40">
        <v>167320.51999999999</v>
      </c>
    </row>
    <row r="41" spans="1:14">
      <c r="A41" t="s">
        <v>32</v>
      </c>
      <c r="B41" s="2">
        <v>45658</v>
      </c>
      <c r="C41" t="s">
        <v>15</v>
      </c>
      <c r="D41" t="s">
        <v>28</v>
      </c>
      <c r="E41">
        <v>40462.94</v>
      </c>
      <c r="F41">
        <v>3660</v>
      </c>
      <c r="G41">
        <v>0.218</v>
      </c>
      <c r="H41">
        <v>11</v>
      </c>
      <c r="I41">
        <v>95.2</v>
      </c>
      <c r="J41">
        <v>5.57</v>
      </c>
      <c r="K41">
        <v>0</v>
      </c>
      <c r="L41">
        <v>4.4000000000000004</v>
      </c>
      <c r="M41">
        <v>592195.85</v>
      </c>
      <c r="N41">
        <v>92291.56</v>
      </c>
    </row>
    <row r="42" spans="1:14">
      <c r="A42" t="s">
        <v>32</v>
      </c>
      <c r="B42" s="2">
        <v>45689</v>
      </c>
      <c r="C42" t="s">
        <v>15</v>
      </c>
      <c r="D42" t="s">
        <v>28</v>
      </c>
      <c r="E42">
        <v>46123.88</v>
      </c>
      <c r="F42">
        <v>3227</v>
      </c>
      <c r="G42">
        <v>0.14299999999999999</v>
      </c>
      <c r="H42">
        <v>10</v>
      </c>
      <c r="I42">
        <v>75.400000000000006</v>
      </c>
      <c r="J42">
        <v>1.06</v>
      </c>
      <c r="K42">
        <v>0</v>
      </c>
      <c r="L42">
        <v>4.4000000000000004</v>
      </c>
      <c r="M42">
        <v>532644.46</v>
      </c>
      <c r="N42">
        <v>60681.32</v>
      </c>
    </row>
    <row r="43" spans="1:14">
      <c r="A43" t="s">
        <v>32</v>
      </c>
      <c r="B43" s="2">
        <v>45717</v>
      </c>
      <c r="C43" t="s">
        <v>15</v>
      </c>
      <c r="D43" t="s">
        <v>28</v>
      </c>
      <c r="E43">
        <v>68077.539999999994</v>
      </c>
      <c r="F43">
        <v>3360</v>
      </c>
      <c r="G43">
        <v>0.128</v>
      </c>
      <c r="H43">
        <v>14</v>
      </c>
      <c r="I43">
        <v>88.2</v>
      </c>
      <c r="J43">
        <v>1.24</v>
      </c>
      <c r="K43">
        <v>1</v>
      </c>
      <c r="L43">
        <v>4</v>
      </c>
      <c r="M43">
        <v>657429.18000000005</v>
      </c>
      <c r="N43">
        <v>88919.74</v>
      </c>
    </row>
    <row r="44" spans="1:14">
      <c r="A44" t="s">
        <v>32</v>
      </c>
      <c r="B44" s="2">
        <v>45748</v>
      </c>
      <c r="C44" t="s">
        <v>15</v>
      </c>
      <c r="D44" t="s">
        <v>28</v>
      </c>
      <c r="E44">
        <v>64882.14</v>
      </c>
      <c r="F44">
        <v>3642</v>
      </c>
      <c r="G44">
        <v>1.9E-2</v>
      </c>
      <c r="H44">
        <v>13</v>
      </c>
      <c r="I44">
        <v>87.8</v>
      </c>
      <c r="J44">
        <v>4.5199999999999996</v>
      </c>
      <c r="K44">
        <v>0</v>
      </c>
      <c r="L44">
        <v>4.2</v>
      </c>
      <c r="M44">
        <v>605178</v>
      </c>
      <c r="N44">
        <v>106958.74</v>
      </c>
    </row>
    <row r="45" spans="1:14">
      <c r="A45" t="s">
        <v>33</v>
      </c>
      <c r="B45" s="2">
        <v>45658</v>
      </c>
      <c r="C45" t="s">
        <v>27</v>
      </c>
      <c r="D45" t="s">
        <v>16</v>
      </c>
      <c r="E45">
        <v>138855.51</v>
      </c>
      <c r="F45">
        <v>5145</v>
      </c>
      <c r="G45">
        <v>0.06</v>
      </c>
      <c r="H45">
        <v>17</v>
      </c>
      <c r="I45">
        <v>88.2</v>
      </c>
      <c r="J45">
        <v>9.58</v>
      </c>
      <c r="K45">
        <v>0</v>
      </c>
      <c r="L45">
        <v>3.2</v>
      </c>
      <c r="M45">
        <v>595467.6</v>
      </c>
      <c r="N45">
        <v>104276.46</v>
      </c>
    </row>
    <row r="46" spans="1:14">
      <c r="A46" t="s">
        <v>33</v>
      </c>
      <c r="B46" s="2">
        <v>45689</v>
      </c>
      <c r="C46" t="s">
        <v>27</v>
      </c>
      <c r="D46" t="s">
        <v>16</v>
      </c>
      <c r="E46">
        <v>63630.21</v>
      </c>
      <c r="F46">
        <v>4460</v>
      </c>
      <c r="G46">
        <v>0.23499999999999999</v>
      </c>
      <c r="H46">
        <v>14</v>
      </c>
      <c r="I46">
        <v>98.6</v>
      </c>
      <c r="J46">
        <v>5.52</v>
      </c>
      <c r="K46">
        <v>0</v>
      </c>
      <c r="L46">
        <v>3.5</v>
      </c>
      <c r="M46">
        <v>599603.4</v>
      </c>
      <c r="N46">
        <v>112685.12</v>
      </c>
    </row>
    <row r="47" spans="1:14">
      <c r="A47" t="s">
        <v>33</v>
      </c>
      <c r="B47" s="2">
        <v>45717</v>
      </c>
      <c r="C47" t="s">
        <v>27</v>
      </c>
      <c r="D47" t="s">
        <v>16</v>
      </c>
      <c r="E47">
        <v>50043.65</v>
      </c>
      <c r="F47">
        <v>3804</v>
      </c>
      <c r="G47">
        <v>0.113</v>
      </c>
      <c r="H47">
        <v>11</v>
      </c>
      <c r="I47">
        <v>90.9</v>
      </c>
      <c r="J47">
        <v>2.7</v>
      </c>
      <c r="K47">
        <v>1</v>
      </c>
      <c r="L47">
        <v>3.2</v>
      </c>
      <c r="M47">
        <v>614800.09</v>
      </c>
      <c r="N47">
        <v>100044.2</v>
      </c>
    </row>
    <row r="48" spans="1:14">
      <c r="A48" t="s">
        <v>33</v>
      </c>
      <c r="B48" s="2">
        <v>45748</v>
      </c>
      <c r="C48" t="s">
        <v>27</v>
      </c>
      <c r="D48" t="s">
        <v>16</v>
      </c>
      <c r="E48">
        <v>42093.84</v>
      </c>
      <c r="F48">
        <v>4074</v>
      </c>
      <c r="G48">
        <v>0.155</v>
      </c>
      <c r="H48">
        <v>15</v>
      </c>
      <c r="I48">
        <v>88</v>
      </c>
      <c r="J48">
        <v>9.64</v>
      </c>
      <c r="K48">
        <v>0</v>
      </c>
      <c r="L48">
        <v>3.3</v>
      </c>
      <c r="M48">
        <v>585365.73</v>
      </c>
      <c r="N48">
        <v>81011.520000000004</v>
      </c>
    </row>
    <row r="49" spans="1:14">
      <c r="A49" t="s">
        <v>34</v>
      </c>
      <c r="B49" s="2">
        <v>45658</v>
      </c>
      <c r="C49" t="s">
        <v>20</v>
      </c>
      <c r="D49" t="s">
        <v>28</v>
      </c>
      <c r="E49">
        <v>46624.05</v>
      </c>
      <c r="F49">
        <v>5104</v>
      </c>
      <c r="G49">
        <v>0.109</v>
      </c>
      <c r="H49">
        <v>11</v>
      </c>
      <c r="I49">
        <v>97.3</v>
      </c>
      <c r="J49">
        <v>3.49</v>
      </c>
      <c r="K49">
        <v>1</v>
      </c>
      <c r="L49">
        <v>4.7</v>
      </c>
      <c r="M49">
        <v>622811.74</v>
      </c>
      <c r="N49">
        <v>109978.35</v>
      </c>
    </row>
    <row r="50" spans="1:14">
      <c r="A50" t="s">
        <v>34</v>
      </c>
      <c r="B50" s="2">
        <v>45689</v>
      </c>
      <c r="C50" t="s">
        <v>20</v>
      </c>
      <c r="D50" t="s">
        <v>28</v>
      </c>
      <c r="E50">
        <v>49710.29</v>
      </c>
      <c r="F50">
        <v>5559</v>
      </c>
      <c r="G50">
        <v>0.218</v>
      </c>
      <c r="H50">
        <v>14</v>
      </c>
      <c r="I50">
        <v>71</v>
      </c>
      <c r="J50">
        <v>9.11</v>
      </c>
      <c r="K50">
        <v>0</v>
      </c>
      <c r="L50">
        <v>4.5999999999999996</v>
      </c>
      <c r="M50">
        <v>603297.56999999995</v>
      </c>
      <c r="N50">
        <v>60592.26</v>
      </c>
    </row>
    <row r="51" spans="1:14">
      <c r="A51" t="s">
        <v>34</v>
      </c>
      <c r="B51" s="2">
        <v>45717</v>
      </c>
      <c r="C51" t="s">
        <v>20</v>
      </c>
      <c r="D51" t="s">
        <v>28</v>
      </c>
      <c r="E51">
        <v>48287.85</v>
      </c>
      <c r="F51">
        <v>5150</v>
      </c>
      <c r="G51">
        <v>8.0000000000000002E-3</v>
      </c>
      <c r="H51">
        <v>12</v>
      </c>
      <c r="I51">
        <v>80.400000000000006</v>
      </c>
      <c r="J51">
        <v>7.4</v>
      </c>
      <c r="K51">
        <v>0</v>
      </c>
      <c r="L51">
        <v>4.5</v>
      </c>
      <c r="M51">
        <v>625672.86</v>
      </c>
      <c r="N51">
        <v>118020.12</v>
      </c>
    </row>
    <row r="52" spans="1:14">
      <c r="A52" t="s">
        <v>34</v>
      </c>
      <c r="B52" s="2">
        <v>45748</v>
      </c>
      <c r="C52" t="s">
        <v>20</v>
      </c>
      <c r="D52" t="s">
        <v>28</v>
      </c>
      <c r="E52">
        <v>65312.49</v>
      </c>
      <c r="F52">
        <v>7189</v>
      </c>
      <c r="G52">
        <v>0.05</v>
      </c>
      <c r="H52">
        <v>19</v>
      </c>
      <c r="I52">
        <v>93.7</v>
      </c>
      <c r="J52">
        <v>7.16</v>
      </c>
      <c r="K52">
        <v>0</v>
      </c>
      <c r="L52">
        <v>4.5999999999999996</v>
      </c>
      <c r="M52">
        <v>773815.14</v>
      </c>
      <c r="N52">
        <v>133948.39000000001</v>
      </c>
    </row>
    <row r="53" spans="1:14">
      <c r="A53" t="s">
        <v>35</v>
      </c>
      <c r="B53" s="2">
        <v>45658</v>
      </c>
      <c r="C53" t="s">
        <v>27</v>
      </c>
      <c r="D53" t="s">
        <v>18</v>
      </c>
      <c r="E53">
        <v>53015.46</v>
      </c>
      <c r="F53">
        <v>3279</v>
      </c>
      <c r="G53">
        <v>8.6999999999999994E-2</v>
      </c>
      <c r="H53">
        <v>9</v>
      </c>
      <c r="I53">
        <v>84.3</v>
      </c>
      <c r="J53">
        <v>22.02</v>
      </c>
      <c r="K53">
        <v>0</v>
      </c>
      <c r="L53">
        <v>3.9</v>
      </c>
      <c r="M53">
        <v>463534.25</v>
      </c>
      <c r="N53">
        <v>81834.539999999994</v>
      </c>
    </row>
    <row r="54" spans="1:14">
      <c r="A54" t="s">
        <v>35</v>
      </c>
      <c r="B54" s="2">
        <v>45689</v>
      </c>
      <c r="C54" t="s">
        <v>27</v>
      </c>
      <c r="D54" t="s">
        <v>18</v>
      </c>
      <c r="E54">
        <v>99874.01</v>
      </c>
      <c r="F54">
        <v>5887</v>
      </c>
      <c r="G54">
        <v>0.26200000000000001</v>
      </c>
      <c r="H54">
        <v>14</v>
      </c>
      <c r="I54">
        <v>88.7</v>
      </c>
      <c r="J54">
        <v>6.18</v>
      </c>
      <c r="K54">
        <v>0</v>
      </c>
      <c r="L54">
        <v>4.7</v>
      </c>
      <c r="M54">
        <v>746677.75</v>
      </c>
      <c r="N54">
        <v>122437.84</v>
      </c>
    </row>
    <row r="55" spans="1:14">
      <c r="A55" t="s">
        <v>35</v>
      </c>
      <c r="B55" s="2">
        <v>45717</v>
      </c>
      <c r="C55" t="s">
        <v>27</v>
      </c>
      <c r="D55" t="s">
        <v>18</v>
      </c>
      <c r="E55">
        <v>81195.5</v>
      </c>
      <c r="F55">
        <v>5516</v>
      </c>
      <c r="G55">
        <v>0.106</v>
      </c>
      <c r="H55">
        <v>14</v>
      </c>
      <c r="I55">
        <v>88</v>
      </c>
      <c r="J55">
        <v>1.76</v>
      </c>
      <c r="K55">
        <v>0</v>
      </c>
      <c r="L55">
        <v>4.3</v>
      </c>
      <c r="M55">
        <v>720852.5</v>
      </c>
      <c r="N55">
        <v>98565.62</v>
      </c>
    </row>
    <row r="56" spans="1:14">
      <c r="A56" t="s">
        <v>35</v>
      </c>
      <c r="B56" s="2">
        <v>45748</v>
      </c>
      <c r="C56" t="s">
        <v>27</v>
      </c>
      <c r="D56" t="s">
        <v>18</v>
      </c>
      <c r="E56">
        <v>27808.6</v>
      </c>
      <c r="F56">
        <v>2863</v>
      </c>
      <c r="G56">
        <v>0.08</v>
      </c>
      <c r="H56">
        <v>13</v>
      </c>
      <c r="I56">
        <v>89.3</v>
      </c>
      <c r="J56">
        <v>0.47</v>
      </c>
      <c r="K56">
        <v>0</v>
      </c>
      <c r="L56">
        <v>4.0999999999999996</v>
      </c>
      <c r="M56">
        <v>487464.91</v>
      </c>
      <c r="N56">
        <v>64562.26</v>
      </c>
    </row>
    <row r="57" spans="1:14">
      <c r="A57" t="s">
        <v>36</v>
      </c>
      <c r="B57" s="2">
        <v>45658</v>
      </c>
      <c r="C57" t="s">
        <v>15</v>
      </c>
      <c r="D57" t="s">
        <v>21</v>
      </c>
      <c r="E57">
        <v>19365.060000000001</v>
      </c>
      <c r="F57">
        <v>2378</v>
      </c>
      <c r="G57">
        <v>0</v>
      </c>
      <c r="H57">
        <v>12</v>
      </c>
      <c r="I57">
        <v>94.8</v>
      </c>
      <c r="J57">
        <v>0.2</v>
      </c>
      <c r="K57">
        <v>0</v>
      </c>
      <c r="L57">
        <v>3.5</v>
      </c>
      <c r="M57">
        <v>518049.26</v>
      </c>
      <c r="N57">
        <v>108592.49</v>
      </c>
    </row>
    <row r="58" spans="1:14">
      <c r="A58" t="s">
        <v>36</v>
      </c>
      <c r="B58" s="2">
        <v>45689</v>
      </c>
      <c r="C58" t="s">
        <v>15</v>
      </c>
      <c r="D58" t="s">
        <v>21</v>
      </c>
      <c r="E58">
        <v>59405.68</v>
      </c>
      <c r="F58">
        <v>2515</v>
      </c>
      <c r="G58">
        <v>3.9E-2</v>
      </c>
      <c r="H58">
        <v>12</v>
      </c>
      <c r="I58">
        <v>76</v>
      </c>
      <c r="J58">
        <v>5.1100000000000003</v>
      </c>
      <c r="K58">
        <v>0</v>
      </c>
      <c r="L58">
        <v>3.7</v>
      </c>
      <c r="M58">
        <v>500298.48</v>
      </c>
      <c r="N58">
        <v>73461.320000000007</v>
      </c>
    </row>
    <row r="59" spans="1:14">
      <c r="A59" t="s">
        <v>36</v>
      </c>
      <c r="B59" s="2">
        <v>45717</v>
      </c>
      <c r="C59" t="s">
        <v>15</v>
      </c>
      <c r="D59" t="s">
        <v>21</v>
      </c>
      <c r="E59">
        <v>118910.48</v>
      </c>
      <c r="F59">
        <v>4022</v>
      </c>
      <c r="G59">
        <v>0.13700000000000001</v>
      </c>
      <c r="H59">
        <v>11</v>
      </c>
      <c r="I59">
        <v>87.1</v>
      </c>
      <c r="J59">
        <v>0.2</v>
      </c>
      <c r="K59">
        <v>0</v>
      </c>
      <c r="L59">
        <v>3.1</v>
      </c>
      <c r="M59">
        <v>617291.15</v>
      </c>
      <c r="N59">
        <v>117782</v>
      </c>
    </row>
    <row r="60" spans="1:14">
      <c r="A60" t="s">
        <v>36</v>
      </c>
      <c r="B60" s="2">
        <v>45748</v>
      </c>
      <c r="C60" t="s">
        <v>15</v>
      </c>
      <c r="D60" t="s">
        <v>21</v>
      </c>
      <c r="E60">
        <v>52952.12</v>
      </c>
      <c r="F60">
        <v>4377</v>
      </c>
      <c r="G60">
        <v>9.1999999999999998E-2</v>
      </c>
      <c r="H60">
        <v>14</v>
      </c>
      <c r="I60">
        <v>88.6</v>
      </c>
      <c r="J60">
        <v>13.59</v>
      </c>
      <c r="K60">
        <v>0</v>
      </c>
      <c r="L60">
        <v>3.1</v>
      </c>
      <c r="M60">
        <v>553756.43000000005</v>
      </c>
      <c r="N60">
        <v>86166.77</v>
      </c>
    </row>
    <row r="61" spans="1:14">
      <c r="A61" t="s">
        <v>37</v>
      </c>
      <c r="B61" s="2">
        <v>45658</v>
      </c>
      <c r="C61" t="s">
        <v>24</v>
      </c>
      <c r="D61" t="s">
        <v>18</v>
      </c>
      <c r="E61">
        <v>74907.98</v>
      </c>
      <c r="F61">
        <v>5306</v>
      </c>
      <c r="G61">
        <v>6.2E-2</v>
      </c>
      <c r="H61">
        <v>16</v>
      </c>
      <c r="I61">
        <v>95.6</v>
      </c>
      <c r="J61">
        <v>1.02</v>
      </c>
      <c r="K61">
        <v>0</v>
      </c>
      <c r="L61">
        <v>3.7</v>
      </c>
      <c r="M61">
        <v>749559.71</v>
      </c>
      <c r="N61">
        <v>144522.53</v>
      </c>
    </row>
    <row r="62" spans="1:14">
      <c r="A62" t="s">
        <v>37</v>
      </c>
      <c r="B62" s="2">
        <v>45689</v>
      </c>
      <c r="C62" t="s">
        <v>24</v>
      </c>
      <c r="D62" t="s">
        <v>18</v>
      </c>
      <c r="E62">
        <v>37284.660000000003</v>
      </c>
      <c r="F62">
        <v>3928</v>
      </c>
      <c r="G62">
        <v>7.3999999999999996E-2</v>
      </c>
      <c r="H62">
        <v>12</v>
      </c>
      <c r="I62">
        <v>86.5</v>
      </c>
      <c r="J62">
        <v>1.64</v>
      </c>
      <c r="K62">
        <v>0</v>
      </c>
      <c r="L62">
        <v>3.8</v>
      </c>
      <c r="M62">
        <v>615966.48</v>
      </c>
      <c r="N62">
        <v>91509.38</v>
      </c>
    </row>
    <row r="63" spans="1:14">
      <c r="A63" t="s">
        <v>37</v>
      </c>
      <c r="B63" s="2">
        <v>45717</v>
      </c>
      <c r="C63" t="s">
        <v>24</v>
      </c>
      <c r="D63" t="s">
        <v>18</v>
      </c>
      <c r="E63">
        <v>50343.19</v>
      </c>
      <c r="F63">
        <v>3845</v>
      </c>
      <c r="G63">
        <v>0.113</v>
      </c>
      <c r="H63">
        <v>9</v>
      </c>
      <c r="I63">
        <v>88.7</v>
      </c>
      <c r="J63">
        <v>5.15</v>
      </c>
      <c r="K63">
        <v>0</v>
      </c>
      <c r="L63">
        <v>3.3</v>
      </c>
      <c r="M63">
        <v>572011.19999999995</v>
      </c>
      <c r="N63">
        <v>101409.68</v>
      </c>
    </row>
    <row r="64" spans="1:14">
      <c r="A64" t="s">
        <v>37</v>
      </c>
      <c r="B64" s="2">
        <v>45748</v>
      </c>
      <c r="C64" t="s">
        <v>24</v>
      </c>
      <c r="D64" t="s">
        <v>18</v>
      </c>
      <c r="E64">
        <v>74954.47</v>
      </c>
      <c r="F64">
        <v>6620</v>
      </c>
      <c r="G64">
        <v>5.3999999999999999E-2</v>
      </c>
      <c r="H64">
        <v>17</v>
      </c>
      <c r="I64">
        <v>91.1</v>
      </c>
      <c r="J64">
        <v>1.1100000000000001</v>
      </c>
      <c r="K64">
        <v>0</v>
      </c>
      <c r="L64">
        <v>3.5</v>
      </c>
      <c r="M64">
        <v>761860.19</v>
      </c>
      <c r="N64">
        <v>133279.38</v>
      </c>
    </row>
    <row r="65" spans="1:14">
      <c r="A65" t="s">
        <v>38</v>
      </c>
      <c r="B65" s="2">
        <v>45658</v>
      </c>
      <c r="C65" t="s">
        <v>27</v>
      </c>
      <c r="D65" t="s">
        <v>18</v>
      </c>
      <c r="E65">
        <v>70040.31</v>
      </c>
      <c r="F65">
        <v>9175</v>
      </c>
      <c r="G65">
        <v>0.107</v>
      </c>
      <c r="H65">
        <v>23</v>
      </c>
      <c r="I65">
        <v>95.1</v>
      </c>
      <c r="J65">
        <v>6.08</v>
      </c>
      <c r="K65">
        <v>1</v>
      </c>
      <c r="L65">
        <v>3.4</v>
      </c>
      <c r="M65">
        <v>784502.68</v>
      </c>
      <c r="N65">
        <v>129519.72</v>
      </c>
    </row>
    <row r="66" spans="1:14">
      <c r="A66" t="s">
        <v>38</v>
      </c>
      <c r="B66" s="2">
        <v>45689</v>
      </c>
      <c r="C66" t="s">
        <v>27</v>
      </c>
      <c r="D66" t="s">
        <v>18</v>
      </c>
      <c r="E66">
        <v>51148.69</v>
      </c>
      <c r="F66">
        <v>7940</v>
      </c>
      <c r="G66">
        <v>0.156</v>
      </c>
      <c r="H66">
        <v>18</v>
      </c>
      <c r="I66">
        <v>93.3</v>
      </c>
      <c r="J66">
        <v>10.91</v>
      </c>
      <c r="K66">
        <v>0</v>
      </c>
      <c r="L66">
        <v>3.6</v>
      </c>
      <c r="M66">
        <v>717141.55</v>
      </c>
      <c r="N66">
        <v>134013.60999999999</v>
      </c>
    </row>
    <row r="67" spans="1:14">
      <c r="A67" t="s">
        <v>38</v>
      </c>
      <c r="B67" s="2">
        <v>45717</v>
      </c>
      <c r="C67" t="s">
        <v>27</v>
      </c>
      <c r="D67" t="s">
        <v>18</v>
      </c>
      <c r="E67">
        <v>79346.100000000006</v>
      </c>
      <c r="F67">
        <v>9628</v>
      </c>
      <c r="G67">
        <v>0.10199999999999999</v>
      </c>
      <c r="H67">
        <v>20</v>
      </c>
      <c r="I67">
        <v>99</v>
      </c>
      <c r="J67">
        <v>19.010000000000002</v>
      </c>
      <c r="K67">
        <v>1</v>
      </c>
      <c r="L67">
        <v>3.2</v>
      </c>
      <c r="M67">
        <v>685379.08</v>
      </c>
      <c r="N67">
        <v>106898.82</v>
      </c>
    </row>
    <row r="68" spans="1:14">
      <c r="A68" t="s">
        <v>38</v>
      </c>
      <c r="B68" s="2">
        <v>45748</v>
      </c>
      <c r="C68" t="s">
        <v>27</v>
      </c>
      <c r="D68" t="s">
        <v>18</v>
      </c>
      <c r="E68">
        <v>42018.400000000001</v>
      </c>
      <c r="F68">
        <v>8296</v>
      </c>
      <c r="G68">
        <v>0.115</v>
      </c>
      <c r="H68">
        <v>17</v>
      </c>
      <c r="I68">
        <v>91.8</v>
      </c>
      <c r="J68">
        <v>0.77</v>
      </c>
      <c r="K68">
        <v>0</v>
      </c>
      <c r="L68">
        <v>3.4</v>
      </c>
      <c r="M68">
        <v>740496.65</v>
      </c>
      <c r="N68">
        <v>128020.9</v>
      </c>
    </row>
    <row r="69" spans="1:14">
      <c r="A69" t="s">
        <v>39</v>
      </c>
      <c r="B69" s="2">
        <v>45658</v>
      </c>
      <c r="C69" t="s">
        <v>15</v>
      </c>
      <c r="D69" t="s">
        <v>18</v>
      </c>
      <c r="E69">
        <v>70937.240000000005</v>
      </c>
      <c r="F69">
        <v>3595</v>
      </c>
      <c r="G69">
        <v>0.14099999999999999</v>
      </c>
      <c r="H69">
        <v>11</v>
      </c>
      <c r="I69">
        <v>88.9</v>
      </c>
      <c r="J69">
        <v>2.83</v>
      </c>
      <c r="K69">
        <v>1</v>
      </c>
      <c r="L69">
        <v>3.3</v>
      </c>
      <c r="M69">
        <v>661927.14</v>
      </c>
      <c r="N69">
        <v>79218.570000000007</v>
      </c>
    </row>
    <row r="70" spans="1:14">
      <c r="A70" t="s">
        <v>39</v>
      </c>
      <c r="B70" s="2">
        <v>45689</v>
      </c>
      <c r="C70" t="s">
        <v>15</v>
      </c>
      <c r="D70" t="s">
        <v>18</v>
      </c>
      <c r="E70">
        <v>36813.449999999997</v>
      </c>
      <c r="F70">
        <v>2834</v>
      </c>
      <c r="G70">
        <v>0.191</v>
      </c>
      <c r="H70">
        <v>11</v>
      </c>
      <c r="I70">
        <v>81.8</v>
      </c>
      <c r="J70">
        <v>2.33</v>
      </c>
      <c r="K70">
        <v>0</v>
      </c>
      <c r="L70">
        <v>3.3</v>
      </c>
      <c r="M70">
        <v>479050.5</v>
      </c>
      <c r="N70">
        <v>53651.11</v>
      </c>
    </row>
    <row r="71" spans="1:14">
      <c r="A71" t="s">
        <v>39</v>
      </c>
      <c r="B71" s="2">
        <v>45717</v>
      </c>
      <c r="C71" t="s">
        <v>15</v>
      </c>
      <c r="D71" t="s">
        <v>18</v>
      </c>
      <c r="E71">
        <v>60571.82</v>
      </c>
      <c r="F71">
        <v>3193</v>
      </c>
      <c r="G71">
        <v>0.19700000000000001</v>
      </c>
      <c r="H71">
        <v>7</v>
      </c>
      <c r="I71">
        <v>99</v>
      </c>
      <c r="J71">
        <v>1.43</v>
      </c>
      <c r="K71">
        <v>0</v>
      </c>
      <c r="L71">
        <v>3.2</v>
      </c>
      <c r="M71">
        <v>605023.87</v>
      </c>
      <c r="N71">
        <v>98545.81</v>
      </c>
    </row>
    <row r="72" spans="1:14">
      <c r="A72" t="s">
        <v>40</v>
      </c>
      <c r="B72" s="2">
        <v>45658</v>
      </c>
      <c r="C72" t="s">
        <v>15</v>
      </c>
      <c r="D72" t="s">
        <v>16</v>
      </c>
      <c r="E72">
        <v>46201.46</v>
      </c>
      <c r="F72">
        <v>5918</v>
      </c>
      <c r="G72">
        <v>0.27700000000000002</v>
      </c>
      <c r="H72">
        <v>13</v>
      </c>
      <c r="I72">
        <v>78.8</v>
      </c>
      <c r="J72">
        <v>4.91</v>
      </c>
      <c r="K72">
        <v>0</v>
      </c>
      <c r="L72">
        <v>4.5</v>
      </c>
      <c r="M72">
        <v>616069.41</v>
      </c>
      <c r="N72">
        <v>54453.99</v>
      </c>
    </row>
    <row r="73" spans="1:14">
      <c r="A73" t="s">
        <v>40</v>
      </c>
      <c r="B73" s="2">
        <v>45689</v>
      </c>
      <c r="C73" t="s">
        <v>15</v>
      </c>
      <c r="D73" t="s">
        <v>16</v>
      </c>
      <c r="E73">
        <v>53762.92</v>
      </c>
      <c r="F73">
        <v>6821</v>
      </c>
      <c r="G73">
        <v>6.6000000000000003E-2</v>
      </c>
      <c r="H73">
        <v>19</v>
      </c>
      <c r="I73">
        <v>94.6</v>
      </c>
      <c r="J73">
        <v>7.03</v>
      </c>
      <c r="K73">
        <v>0</v>
      </c>
      <c r="L73">
        <v>4.4000000000000004</v>
      </c>
      <c r="M73">
        <v>630829.93999999994</v>
      </c>
      <c r="N73">
        <v>117090.02</v>
      </c>
    </row>
    <row r="74" spans="1:14">
      <c r="A74" t="s">
        <v>40</v>
      </c>
      <c r="B74" s="2">
        <v>45717</v>
      </c>
      <c r="C74" t="s">
        <v>15</v>
      </c>
      <c r="D74" t="s">
        <v>16</v>
      </c>
      <c r="E74">
        <v>70144.78</v>
      </c>
      <c r="F74">
        <v>6806</v>
      </c>
      <c r="G74">
        <v>0.17799999999999999</v>
      </c>
      <c r="H74">
        <v>20</v>
      </c>
      <c r="I74">
        <v>93.1</v>
      </c>
      <c r="J74">
        <v>0.28000000000000003</v>
      </c>
      <c r="K74">
        <v>1</v>
      </c>
      <c r="L74">
        <v>4.3</v>
      </c>
      <c r="M74">
        <v>788087.68</v>
      </c>
      <c r="N74">
        <v>116803.42</v>
      </c>
    </row>
    <row r="75" spans="1:14">
      <c r="A75" t="s">
        <v>40</v>
      </c>
      <c r="B75" s="2">
        <v>45748</v>
      </c>
      <c r="C75" t="s">
        <v>15</v>
      </c>
      <c r="D75" t="s">
        <v>16</v>
      </c>
      <c r="E75">
        <v>58749.63</v>
      </c>
      <c r="F75">
        <v>8252</v>
      </c>
      <c r="G75">
        <v>0.20300000000000001</v>
      </c>
      <c r="H75">
        <v>20</v>
      </c>
      <c r="I75">
        <v>85.2</v>
      </c>
      <c r="J75">
        <v>3.61</v>
      </c>
      <c r="K75">
        <v>0</v>
      </c>
      <c r="L75">
        <v>4.5</v>
      </c>
      <c r="M75">
        <v>680840.36</v>
      </c>
      <c r="N75">
        <v>68007.679999999993</v>
      </c>
    </row>
    <row r="76" spans="1:14">
      <c r="A76" t="s">
        <v>41</v>
      </c>
      <c r="B76" s="2">
        <v>45658</v>
      </c>
      <c r="C76" t="s">
        <v>24</v>
      </c>
      <c r="D76" t="s">
        <v>18</v>
      </c>
      <c r="E76">
        <v>56973.18</v>
      </c>
      <c r="F76">
        <v>6662</v>
      </c>
      <c r="G76">
        <v>0.1</v>
      </c>
      <c r="H76">
        <v>15</v>
      </c>
      <c r="I76">
        <v>77.7</v>
      </c>
      <c r="J76">
        <v>7.52</v>
      </c>
      <c r="K76">
        <v>1</v>
      </c>
      <c r="L76">
        <v>3.2</v>
      </c>
      <c r="M76">
        <v>643657.47</v>
      </c>
      <c r="N76">
        <v>87022.45</v>
      </c>
    </row>
    <row r="77" spans="1:14">
      <c r="A77" t="s">
        <v>41</v>
      </c>
      <c r="B77" s="2">
        <v>45689</v>
      </c>
      <c r="C77" t="s">
        <v>24</v>
      </c>
      <c r="D77" t="s">
        <v>18</v>
      </c>
      <c r="E77">
        <v>54872.82</v>
      </c>
      <c r="F77">
        <v>5962</v>
      </c>
      <c r="G77">
        <v>6.4000000000000001E-2</v>
      </c>
      <c r="H77">
        <v>12</v>
      </c>
      <c r="I77">
        <v>85.4</v>
      </c>
      <c r="J77">
        <v>2.58</v>
      </c>
      <c r="K77">
        <v>0</v>
      </c>
      <c r="L77">
        <v>2.9</v>
      </c>
      <c r="M77">
        <v>691112.6</v>
      </c>
      <c r="N77">
        <v>109212.83</v>
      </c>
    </row>
    <row r="78" spans="1:14">
      <c r="A78" t="s">
        <v>41</v>
      </c>
      <c r="B78" s="2">
        <v>45717</v>
      </c>
      <c r="C78" t="s">
        <v>24</v>
      </c>
      <c r="D78" t="s">
        <v>18</v>
      </c>
      <c r="E78">
        <v>80562.81</v>
      </c>
      <c r="F78">
        <v>7470</v>
      </c>
      <c r="G78">
        <v>0.17199999999999999</v>
      </c>
      <c r="H78">
        <v>16</v>
      </c>
      <c r="I78">
        <v>83.5</v>
      </c>
      <c r="J78">
        <v>2.29</v>
      </c>
      <c r="K78">
        <v>0</v>
      </c>
      <c r="L78">
        <v>3.3</v>
      </c>
      <c r="M78">
        <v>776922.17</v>
      </c>
      <c r="N78">
        <v>150701.93</v>
      </c>
    </row>
    <row r="79" spans="1:14">
      <c r="A79" t="s">
        <v>41</v>
      </c>
      <c r="B79" s="2">
        <v>45748</v>
      </c>
      <c r="C79" t="s">
        <v>24</v>
      </c>
      <c r="D79" t="s">
        <v>18</v>
      </c>
      <c r="E79">
        <v>77999.899999999994</v>
      </c>
      <c r="F79">
        <v>5974</v>
      </c>
      <c r="G79">
        <v>0.252</v>
      </c>
      <c r="H79">
        <v>14</v>
      </c>
      <c r="I79">
        <v>81.3</v>
      </c>
      <c r="J79">
        <v>2.39</v>
      </c>
      <c r="K79">
        <v>0</v>
      </c>
      <c r="L79">
        <v>3.2</v>
      </c>
      <c r="M79">
        <v>636561.34</v>
      </c>
      <c r="N79">
        <v>93861.06</v>
      </c>
    </row>
    <row r="80" spans="1:14">
      <c r="A80" t="s">
        <v>42</v>
      </c>
      <c r="B80" s="2">
        <v>45658</v>
      </c>
      <c r="C80" t="s">
        <v>27</v>
      </c>
      <c r="D80" t="s">
        <v>28</v>
      </c>
      <c r="E80">
        <v>60881.01</v>
      </c>
      <c r="F80">
        <v>5410</v>
      </c>
      <c r="G80">
        <v>0.17899999999999999</v>
      </c>
      <c r="H80">
        <v>15</v>
      </c>
      <c r="I80">
        <v>83.9</v>
      </c>
      <c r="J80">
        <v>5.24</v>
      </c>
      <c r="K80">
        <v>0</v>
      </c>
      <c r="L80">
        <v>4.5999999999999996</v>
      </c>
      <c r="M80">
        <v>621369.57999999996</v>
      </c>
      <c r="N80">
        <v>85493.64</v>
      </c>
    </row>
    <row r="81" spans="1:14">
      <c r="A81" t="s">
        <v>42</v>
      </c>
      <c r="B81" s="2">
        <v>45689</v>
      </c>
      <c r="C81" t="s">
        <v>27</v>
      </c>
      <c r="D81" t="s">
        <v>28</v>
      </c>
      <c r="E81">
        <v>60628.38</v>
      </c>
      <c r="F81">
        <v>4451</v>
      </c>
      <c r="G81">
        <v>9.5000000000000001E-2</v>
      </c>
      <c r="H81">
        <v>10</v>
      </c>
      <c r="I81">
        <v>89.6</v>
      </c>
      <c r="J81">
        <v>3.17</v>
      </c>
      <c r="K81">
        <v>0</v>
      </c>
      <c r="L81">
        <v>4.5999999999999996</v>
      </c>
      <c r="M81">
        <v>682208.01</v>
      </c>
      <c r="N81">
        <v>110318.84</v>
      </c>
    </row>
    <row r="82" spans="1:14">
      <c r="A82" t="s">
        <v>42</v>
      </c>
      <c r="B82" s="2">
        <v>45717</v>
      </c>
      <c r="C82" t="s">
        <v>27</v>
      </c>
      <c r="D82" t="s">
        <v>28</v>
      </c>
      <c r="E82">
        <v>72731.14</v>
      </c>
      <c r="F82">
        <v>4644</v>
      </c>
      <c r="G82">
        <v>8.4000000000000005E-2</v>
      </c>
      <c r="H82">
        <v>15</v>
      </c>
      <c r="I82">
        <v>87.1</v>
      </c>
      <c r="J82">
        <v>2.66</v>
      </c>
      <c r="K82">
        <v>0</v>
      </c>
      <c r="L82">
        <v>4.5999999999999996</v>
      </c>
      <c r="M82">
        <v>727241.86</v>
      </c>
      <c r="N82">
        <v>155810.29999999999</v>
      </c>
    </row>
    <row r="83" spans="1:14">
      <c r="A83" t="s">
        <v>42</v>
      </c>
      <c r="B83" s="2">
        <v>45748</v>
      </c>
      <c r="C83" t="s">
        <v>27</v>
      </c>
      <c r="D83" t="s">
        <v>28</v>
      </c>
      <c r="E83">
        <v>36475.71</v>
      </c>
      <c r="F83">
        <v>3559</v>
      </c>
      <c r="G83">
        <v>0.03</v>
      </c>
      <c r="H83">
        <v>8</v>
      </c>
      <c r="I83">
        <v>83.6</v>
      </c>
      <c r="J83">
        <v>1.41</v>
      </c>
      <c r="K83">
        <v>0</v>
      </c>
      <c r="L83">
        <v>4.2</v>
      </c>
      <c r="M83">
        <v>569100.78</v>
      </c>
      <c r="N83">
        <v>104808.78</v>
      </c>
    </row>
    <row r="84" spans="1:14">
      <c r="A84" t="s">
        <v>43</v>
      </c>
      <c r="B84" s="2">
        <v>45658</v>
      </c>
      <c r="C84" t="s">
        <v>27</v>
      </c>
      <c r="D84" t="s">
        <v>18</v>
      </c>
      <c r="E84">
        <v>55388.11</v>
      </c>
      <c r="F84">
        <v>3091</v>
      </c>
      <c r="G84">
        <v>0.108</v>
      </c>
      <c r="H84">
        <v>7</v>
      </c>
      <c r="I84">
        <v>85.4</v>
      </c>
      <c r="J84">
        <v>7.34</v>
      </c>
      <c r="K84">
        <v>0</v>
      </c>
      <c r="L84">
        <v>4.9000000000000004</v>
      </c>
      <c r="M84">
        <v>574436.29</v>
      </c>
      <c r="N84">
        <v>80271.990000000005</v>
      </c>
    </row>
    <row r="85" spans="1:14">
      <c r="A85" t="s">
        <v>43</v>
      </c>
      <c r="B85" s="2">
        <v>45717</v>
      </c>
      <c r="C85" t="s">
        <v>27</v>
      </c>
      <c r="D85" t="s">
        <v>18</v>
      </c>
      <c r="E85">
        <v>78231.91</v>
      </c>
      <c r="F85">
        <v>3788</v>
      </c>
      <c r="G85">
        <v>5.8999999999999997E-2</v>
      </c>
      <c r="H85">
        <v>11</v>
      </c>
      <c r="I85">
        <v>88.5</v>
      </c>
      <c r="J85">
        <v>15.51</v>
      </c>
      <c r="K85">
        <v>0</v>
      </c>
      <c r="L85">
        <v>4.3</v>
      </c>
      <c r="M85">
        <v>614596.31999999995</v>
      </c>
      <c r="N85">
        <v>131199.41</v>
      </c>
    </row>
    <row r="86" spans="1:14">
      <c r="A86" t="s">
        <v>43</v>
      </c>
      <c r="B86" s="2">
        <v>45748</v>
      </c>
      <c r="C86" t="s">
        <v>27</v>
      </c>
      <c r="D86" t="s">
        <v>18</v>
      </c>
      <c r="E86">
        <v>18996.32</v>
      </c>
      <c r="F86">
        <v>1260</v>
      </c>
      <c r="G86">
        <v>0.14499999999999999</v>
      </c>
      <c r="H86">
        <v>9</v>
      </c>
      <c r="I86">
        <v>86.4</v>
      </c>
      <c r="J86">
        <v>4.3099999999999996</v>
      </c>
      <c r="K86">
        <v>0</v>
      </c>
      <c r="L86">
        <v>4.5999999999999996</v>
      </c>
      <c r="M86">
        <v>450711.92</v>
      </c>
      <c r="N86">
        <v>90043.76</v>
      </c>
    </row>
    <row r="87" spans="1:14">
      <c r="A87" t="s">
        <v>44</v>
      </c>
      <c r="B87" s="2">
        <v>45658</v>
      </c>
      <c r="C87" t="s">
        <v>24</v>
      </c>
      <c r="D87" t="s">
        <v>28</v>
      </c>
      <c r="E87">
        <v>50517.94</v>
      </c>
      <c r="F87">
        <v>7024</v>
      </c>
      <c r="G87">
        <v>2.9000000000000001E-2</v>
      </c>
      <c r="H87">
        <v>18</v>
      </c>
      <c r="I87">
        <v>79.2</v>
      </c>
      <c r="J87">
        <v>6.61</v>
      </c>
      <c r="K87">
        <v>1</v>
      </c>
      <c r="L87">
        <v>4.0999999999999996</v>
      </c>
      <c r="M87">
        <v>711213.46</v>
      </c>
      <c r="N87">
        <v>105863.26</v>
      </c>
    </row>
    <row r="88" spans="1:14">
      <c r="A88" t="s">
        <v>44</v>
      </c>
      <c r="B88" s="2">
        <v>45689</v>
      </c>
      <c r="C88" t="s">
        <v>24</v>
      </c>
      <c r="D88" t="s">
        <v>28</v>
      </c>
      <c r="E88">
        <v>141540.29</v>
      </c>
      <c r="F88">
        <v>5400</v>
      </c>
      <c r="G88">
        <v>1.2999999999999999E-2</v>
      </c>
      <c r="H88">
        <v>12</v>
      </c>
      <c r="I88">
        <v>87</v>
      </c>
      <c r="J88">
        <v>4.26</v>
      </c>
      <c r="K88">
        <v>0</v>
      </c>
      <c r="L88">
        <v>4.5</v>
      </c>
      <c r="M88">
        <v>627171.9</v>
      </c>
      <c r="N88">
        <v>105772.75</v>
      </c>
    </row>
    <row r="89" spans="1:14">
      <c r="A89" t="s">
        <v>44</v>
      </c>
      <c r="B89" s="2">
        <v>45717</v>
      </c>
      <c r="C89" t="s">
        <v>24</v>
      </c>
      <c r="D89" t="s">
        <v>28</v>
      </c>
      <c r="E89">
        <v>82116.19</v>
      </c>
      <c r="F89">
        <v>5988</v>
      </c>
      <c r="G89">
        <v>0.04</v>
      </c>
      <c r="H89">
        <v>17</v>
      </c>
      <c r="I89">
        <v>91.8</v>
      </c>
      <c r="J89">
        <v>5.75</v>
      </c>
      <c r="K89">
        <v>0</v>
      </c>
      <c r="L89">
        <v>4.7</v>
      </c>
      <c r="M89">
        <v>739852.58</v>
      </c>
      <c r="N89">
        <v>129386.43</v>
      </c>
    </row>
    <row r="90" spans="1:14">
      <c r="A90" t="s">
        <v>44</v>
      </c>
      <c r="B90" s="2">
        <v>45748</v>
      </c>
      <c r="C90" t="s">
        <v>24</v>
      </c>
      <c r="D90" t="s">
        <v>28</v>
      </c>
      <c r="E90">
        <v>31207.51</v>
      </c>
      <c r="F90">
        <v>3701</v>
      </c>
      <c r="G90">
        <v>4.2999999999999997E-2</v>
      </c>
      <c r="H90">
        <v>11</v>
      </c>
      <c r="I90">
        <v>84.7</v>
      </c>
      <c r="J90">
        <v>0.33</v>
      </c>
      <c r="K90">
        <v>0</v>
      </c>
      <c r="L90">
        <v>4.3</v>
      </c>
      <c r="M90">
        <v>586307.22</v>
      </c>
      <c r="N90">
        <v>73927.850000000006</v>
      </c>
    </row>
    <row r="91" spans="1:14">
      <c r="A91" t="s">
        <v>45</v>
      </c>
      <c r="B91" s="2">
        <v>45658</v>
      </c>
      <c r="C91" t="s">
        <v>27</v>
      </c>
      <c r="D91" t="s">
        <v>16</v>
      </c>
      <c r="E91">
        <v>38966.589999999997</v>
      </c>
      <c r="F91">
        <v>4509</v>
      </c>
      <c r="G91">
        <v>0.19400000000000001</v>
      </c>
      <c r="H91">
        <v>14</v>
      </c>
      <c r="I91">
        <v>91.1</v>
      </c>
      <c r="J91">
        <v>2.92</v>
      </c>
      <c r="K91">
        <v>0</v>
      </c>
      <c r="L91">
        <v>4.5999999999999996</v>
      </c>
      <c r="M91">
        <v>585937.48</v>
      </c>
      <c r="N91">
        <v>82624.2</v>
      </c>
    </row>
    <row r="92" spans="1:14">
      <c r="A92" t="s">
        <v>45</v>
      </c>
      <c r="B92" s="2">
        <v>45689</v>
      </c>
      <c r="C92" t="s">
        <v>27</v>
      </c>
      <c r="D92" t="s">
        <v>16</v>
      </c>
      <c r="E92">
        <v>67439.3</v>
      </c>
      <c r="F92">
        <v>6477</v>
      </c>
      <c r="G92">
        <v>0</v>
      </c>
      <c r="H92">
        <v>16</v>
      </c>
      <c r="I92">
        <v>90.9</v>
      </c>
      <c r="J92">
        <v>1.64</v>
      </c>
      <c r="K92">
        <v>0</v>
      </c>
      <c r="L92">
        <v>4.5</v>
      </c>
      <c r="M92">
        <v>753473.55</v>
      </c>
      <c r="N92">
        <v>151527.22</v>
      </c>
    </row>
    <row r="93" spans="1:14">
      <c r="A93" t="s">
        <v>45</v>
      </c>
      <c r="B93" s="2">
        <v>45717</v>
      </c>
      <c r="C93" t="s">
        <v>27</v>
      </c>
      <c r="D93" t="s">
        <v>16</v>
      </c>
      <c r="E93">
        <v>86421.88</v>
      </c>
      <c r="F93">
        <v>7970</v>
      </c>
      <c r="G93">
        <v>7.2999999999999995E-2</v>
      </c>
      <c r="H93">
        <v>17</v>
      </c>
      <c r="I93">
        <v>91.3</v>
      </c>
      <c r="J93">
        <v>0.8</v>
      </c>
      <c r="K93">
        <v>0</v>
      </c>
      <c r="L93">
        <v>5</v>
      </c>
      <c r="M93">
        <v>838250.32</v>
      </c>
      <c r="N93">
        <v>122939.34</v>
      </c>
    </row>
    <row r="94" spans="1:14">
      <c r="A94" t="s">
        <v>45</v>
      </c>
      <c r="B94" s="2">
        <v>45748</v>
      </c>
      <c r="C94" t="s">
        <v>27</v>
      </c>
      <c r="D94" t="s">
        <v>16</v>
      </c>
      <c r="E94">
        <v>9534.65</v>
      </c>
      <c r="F94">
        <v>6057</v>
      </c>
      <c r="G94">
        <v>7.3999999999999996E-2</v>
      </c>
      <c r="H94">
        <v>15</v>
      </c>
      <c r="I94">
        <v>94.1</v>
      </c>
      <c r="J94">
        <v>5.79</v>
      </c>
      <c r="K94">
        <v>0</v>
      </c>
      <c r="L94">
        <v>4.5</v>
      </c>
      <c r="M94">
        <v>607898.12</v>
      </c>
      <c r="N94">
        <v>135404.85</v>
      </c>
    </row>
    <row r="95" spans="1:14">
      <c r="A95" t="s">
        <v>46</v>
      </c>
      <c r="B95" s="2">
        <v>45658</v>
      </c>
      <c r="C95" t="s">
        <v>27</v>
      </c>
      <c r="D95" t="s">
        <v>28</v>
      </c>
      <c r="E95">
        <v>61132.07</v>
      </c>
      <c r="F95">
        <v>6394</v>
      </c>
      <c r="G95">
        <v>0.16300000000000001</v>
      </c>
      <c r="H95">
        <v>19</v>
      </c>
      <c r="I95">
        <v>91</v>
      </c>
      <c r="J95">
        <v>19.600000000000001</v>
      </c>
      <c r="K95">
        <v>0</v>
      </c>
      <c r="L95">
        <v>4.4000000000000004</v>
      </c>
      <c r="M95">
        <v>691113.62</v>
      </c>
      <c r="N95">
        <v>135145.44</v>
      </c>
    </row>
    <row r="96" spans="1:14">
      <c r="A96" t="s">
        <v>46</v>
      </c>
      <c r="B96" s="2">
        <v>45689</v>
      </c>
      <c r="C96" t="s">
        <v>27</v>
      </c>
      <c r="D96" t="s">
        <v>28</v>
      </c>
      <c r="E96">
        <v>78839.39</v>
      </c>
      <c r="F96">
        <v>5150</v>
      </c>
      <c r="G96">
        <v>0.17100000000000001</v>
      </c>
      <c r="H96">
        <v>13</v>
      </c>
      <c r="I96">
        <v>85.8</v>
      </c>
      <c r="J96">
        <v>7.57</v>
      </c>
      <c r="K96">
        <v>0</v>
      </c>
      <c r="L96">
        <v>4.3</v>
      </c>
      <c r="M96">
        <v>735509.4</v>
      </c>
      <c r="N96">
        <v>83895.96</v>
      </c>
    </row>
    <row r="97" spans="1:14">
      <c r="A97" t="s">
        <v>46</v>
      </c>
      <c r="B97" s="2">
        <v>45748</v>
      </c>
      <c r="C97" t="s">
        <v>27</v>
      </c>
      <c r="D97" t="s">
        <v>28</v>
      </c>
      <c r="E97">
        <v>55101.1</v>
      </c>
      <c r="F97">
        <v>5281</v>
      </c>
      <c r="G97">
        <v>0.189</v>
      </c>
      <c r="H97">
        <v>11</v>
      </c>
      <c r="I97">
        <v>91</v>
      </c>
      <c r="J97">
        <v>2.7</v>
      </c>
      <c r="K97">
        <v>0</v>
      </c>
      <c r="L97">
        <v>4.4000000000000004</v>
      </c>
      <c r="M97">
        <v>675177.68</v>
      </c>
      <c r="N97">
        <v>105628.68</v>
      </c>
    </row>
    <row r="98" spans="1:14">
      <c r="A98" t="s">
        <v>47</v>
      </c>
      <c r="B98" s="2">
        <v>45658</v>
      </c>
      <c r="C98" t="s">
        <v>15</v>
      </c>
      <c r="D98" t="s">
        <v>28</v>
      </c>
      <c r="E98">
        <v>53084.76</v>
      </c>
      <c r="F98">
        <v>3642</v>
      </c>
      <c r="G98">
        <v>0.15</v>
      </c>
      <c r="H98">
        <v>12</v>
      </c>
      <c r="I98">
        <v>91.4</v>
      </c>
      <c r="J98">
        <v>0.2</v>
      </c>
      <c r="K98">
        <v>0</v>
      </c>
      <c r="L98">
        <v>4.4000000000000004</v>
      </c>
      <c r="M98">
        <v>635181.35</v>
      </c>
      <c r="N98">
        <v>83341.25</v>
      </c>
    </row>
    <row r="99" spans="1:14">
      <c r="A99" t="s">
        <v>47</v>
      </c>
      <c r="B99" s="2">
        <v>45689</v>
      </c>
      <c r="C99" t="s">
        <v>15</v>
      </c>
      <c r="D99" t="s">
        <v>28</v>
      </c>
      <c r="E99">
        <v>63101.59</v>
      </c>
      <c r="F99">
        <v>4373</v>
      </c>
      <c r="G99">
        <v>0.17299999999999999</v>
      </c>
      <c r="H99">
        <v>14</v>
      </c>
      <c r="I99">
        <v>90.4</v>
      </c>
      <c r="J99">
        <v>7.87</v>
      </c>
      <c r="K99">
        <v>0</v>
      </c>
      <c r="L99">
        <v>4.7</v>
      </c>
      <c r="M99">
        <v>586626.93999999994</v>
      </c>
      <c r="N99">
        <v>86498.55</v>
      </c>
    </row>
    <row r="100" spans="1:14">
      <c r="A100" t="s">
        <v>47</v>
      </c>
      <c r="B100" s="2">
        <v>45717</v>
      </c>
      <c r="C100" t="s">
        <v>15</v>
      </c>
      <c r="D100" t="s">
        <v>28</v>
      </c>
      <c r="E100">
        <v>90084.4</v>
      </c>
      <c r="F100">
        <v>6832</v>
      </c>
      <c r="G100">
        <v>0.185</v>
      </c>
      <c r="H100">
        <v>14</v>
      </c>
      <c r="I100">
        <v>80.5</v>
      </c>
      <c r="J100">
        <v>0.77</v>
      </c>
      <c r="K100">
        <v>1</v>
      </c>
      <c r="L100">
        <v>4.4000000000000004</v>
      </c>
      <c r="M100">
        <v>740102.64</v>
      </c>
      <c r="N100">
        <v>114299.07</v>
      </c>
    </row>
    <row r="101" spans="1:14">
      <c r="A101" t="s">
        <v>47</v>
      </c>
      <c r="B101" s="2">
        <v>45748</v>
      </c>
      <c r="C101" t="s">
        <v>15</v>
      </c>
      <c r="D101" t="s">
        <v>28</v>
      </c>
      <c r="E101">
        <v>32266.639999999999</v>
      </c>
      <c r="F101">
        <v>2414</v>
      </c>
      <c r="G101">
        <v>0.08</v>
      </c>
      <c r="H101">
        <v>7</v>
      </c>
      <c r="I101">
        <v>92.1</v>
      </c>
      <c r="J101">
        <v>1.48</v>
      </c>
      <c r="K101">
        <v>0</v>
      </c>
      <c r="L101">
        <v>5</v>
      </c>
      <c r="M101">
        <v>625514.04</v>
      </c>
      <c r="N101">
        <v>120685.08</v>
      </c>
    </row>
    <row r="102" spans="1:14">
      <c r="A102" t="s">
        <v>48</v>
      </c>
      <c r="B102" s="2">
        <v>45658</v>
      </c>
      <c r="C102" t="s">
        <v>27</v>
      </c>
      <c r="D102" t="s">
        <v>18</v>
      </c>
      <c r="E102">
        <v>57919.07</v>
      </c>
      <c r="F102">
        <v>7374</v>
      </c>
      <c r="G102">
        <v>0.10299999999999999</v>
      </c>
      <c r="H102">
        <v>21</v>
      </c>
      <c r="I102">
        <v>82.3</v>
      </c>
      <c r="J102">
        <v>2.87</v>
      </c>
      <c r="K102">
        <v>0</v>
      </c>
      <c r="L102">
        <v>2.9</v>
      </c>
      <c r="M102">
        <v>727227.2</v>
      </c>
      <c r="N102">
        <v>121292.01</v>
      </c>
    </row>
    <row r="103" spans="1:14">
      <c r="A103" t="s">
        <v>48</v>
      </c>
      <c r="B103" s="2">
        <v>45689</v>
      </c>
      <c r="C103" t="s">
        <v>27</v>
      </c>
      <c r="D103" t="s">
        <v>18</v>
      </c>
      <c r="E103">
        <v>74679.350000000006</v>
      </c>
      <c r="F103">
        <v>8739</v>
      </c>
      <c r="G103">
        <v>5.6000000000000001E-2</v>
      </c>
      <c r="H103">
        <v>21</v>
      </c>
      <c r="I103">
        <v>91.8</v>
      </c>
      <c r="J103">
        <v>2.83</v>
      </c>
      <c r="K103">
        <v>0</v>
      </c>
      <c r="L103">
        <v>3</v>
      </c>
      <c r="M103">
        <v>783797.89</v>
      </c>
      <c r="N103">
        <v>157620.70000000001</v>
      </c>
    </row>
    <row r="104" spans="1:14">
      <c r="A104" t="s">
        <v>48</v>
      </c>
      <c r="B104" s="2">
        <v>45717</v>
      </c>
      <c r="C104" t="s">
        <v>27</v>
      </c>
      <c r="D104" t="s">
        <v>18</v>
      </c>
      <c r="E104">
        <v>64294.23</v>
      </c>
      <c r="F104">
        <v>6992</v>
      </c>
      <c r="G104">
        <v>0.13300000000000001</v>
      </c>
      <c r="H104">
        <v>14</v>
      </c>
      <c r="I104">
        <v>94.1</v>
      </c>
      <c r="J104">
        <v>0.25</v>
      </c>
      <c r="K104">
        <v>0</v>
      </c>
      <c r="L104">
        <v>3</v>
      </c>
      <c r="M104">
        <v>795153.84</v>
      </c>
      <c r="N104">
        <v>143194.21</v>
      </c>
    </row>
    <row r="105" spans="1:14">
      <c r="A105" t="s">
        <v>48</v>
      </c>
      <c r="B105" s="2">
        <v>45748</v>
      </c>
      <c r="C105" t="s">
        <v>27</v>
      </c>
      <c r="D105" t="s">
        <v>18</v>
      </c>
      <c r="E105">
        <v>31042.03</v>
      </c>
      <c r="F105">
        <v>7107</v>
      </c>
      <c r="G105">
        <v>5.0999999999999997E-2</v>
      </c>
      <c r="H105">
        <v>15</v>
      </c>
      <c r="I105">
        <v>87</v>
      </c>
      <c r="J105">
        <v>13.33</v>
      </c>
      <c r="K105">
        <v>0</v>
      </c>
      <c r="L105">
        <v>3.2</v>
      </c>
      <c r="M105">
        <v>665594.93999999994</v>
      </c>
      <c r="N105">
        <v>127597.34</v>
      </c>
    </row>
    <row r="106" spans="1:14">
      <c r="A106" t="s">
        <v>49</v>
      </c>
      <c r="B106" s="2">
        <v>45658</v>
      </c>
      <c r="C106" t="s">
        <v>15</v>
      </c>
      <c r="D106" t="s">
        <v>28</v>
      </c>
      <c r="E106">
        <v>75265.02</v>
      </c>
      <c r="F106">
        <v>6975</v>
      </c>
      <c r="G106">
        <v>0.157</v>
      </c>
      <c r="H106">
        <v>20</v>
      </c>
      <c r="I106">
        <v>73.8</v>
      </c>
      <c r="J106">
        <v>6.35</v>
      </c>
      <c r="K106">
        <v>1</v>
      </c>
      <c r="L106">
        <v>3.8</v>
      </c>
      <c r="M106">
        <v>709478.39</v>
      </c>
      <c r="N106">
        <v>71294.27</v>
      </c>
    </row>
    <row r="107" spans="1:14">
      <c r="A107" t="s">
        <v>49</v>
      </c>
      <c r="B107" s="2">
        <v>45689</v>
      </c>
      <c r="C107" t="s">
        <v>15</v>
      </c>
      <c r="D107" t="s">
        <v>28</v>
      </c>
      <c r="E107">
        <v>69411.7</v>
      </c>
      <c r="F107">
        <v>5493</v>
      </c>
      <c r="G107">
        <v>0.29199999999999998</v>
      </c>
      <c r="H107">
        <v>13</v>
      </c>
      <c r="I107">
        <v>86.5</v>
      </c>
      <c r="J107">
        <v>6.69</v>
      </c>
      <c r="K107">
        <v>0</v>
      </c>
      <c r="L107">
        <v>3.8</v>
      </c>
      <c r="M107">
        <v>664162.49</v>
      </c>
      <c r="N107">
        <v>98291.06</v>
      </c>
    </row>
    <row r="108" spans="1:14">
      <c r="A108" t="s">
        <v>49</v>
      </c>
      <c r="B108" s="2">
        <v>45717</v>
      </c>
      <c r="C108" t="s">
        <v>15</v>
      </c>
      <c r="D108" t="s">
        <v>28</v>
      </c>
      <c r="E108">
        <v>51056.15</v>
      </c>
      <c r="F108">
        <v>5686</v>
      </c>
      <c r="G108">
        <v>8.8999999999999996E-2</v>
      </c>
      <c r="H108">
        <v>13</v>
      </c>
      <c r="I108">
        <v>89.9</v>
      </c>
      <c r="J108">
        <v>1.28</v>
      </c>
      <c r="K108">
        <v>0</v>
      </c>
      <c r="L108">
        <v>4.2</v>
      </c>
      <c r="M108">
        <v>633494.21</v>
      </c>
      <c r="N108">
        <v>105739.47</v>
      </c>
    </row>
    <row r="109" spans="1:14">
      <c r="A109" t="s">
        <v>49</v>
      </c>
      <c r="B109" s="2">
        <v>45748</v>
      </c>
      <c r="C109" t="s">
        <v>15</v>
      </c>
      <c r="D109" t="s">
        <v>28</v>
      </c>
      <c r="E109">
        <v>52758.01</v>
      </c>
      <c r="F109">
        <v>4063</v>
      </c>
      <c r="G109">
        <v>5.7000000000000002E-2</v>
      </c>
      <c r="H109">
        <v>12</v>
      </c>
      <c r="I109">
        <v>91.7</v>
      </c>
      <c r="J109">
        <v>0.92</v>
      </c>
      <c r="K109">
        <v>0</v>
      </c>
      <c r="L109">
        <v>3.5</v>
      </c>
      <c r="M109">
        <v>713611.16</v>
      </c>
      <c r="N109">
        <v>129717.18</v>
      </c>
    </row>
    <row r="110" spans="1:14">
      <c r="A110" t="s">
        <v>50</v>
      </c>
      <c r="B110" s="2">
        <v>45658</v>
      </c>
      <c r="C110" t="s">
        <v>27</v>
      </c>
      <c r="D110" t="s">
        <v>28</v>
      </c>
      <c r="E110">
        <v>61426.04</v>
      </c>
      <c r="F110">
        <v>8966</v>
      </c>
      <c r="G110">
        <v>0.17299999999999999</v>
      </c>
      <c r="H110">
        <v>22</v>
      </c>
      <c r="I110">
        <v>76.400000000000006</v>
      </c>
      <c r="J110">
        <v>1.05</v>
      </c>
      <c r="K110">
        <v>0</v>
      </c>
      <c r="L110">
        <v>3.1</v>
      </c>
      <c r="M110">
        <v>778397.97</v>
      </c>
      <c r="N110">
        <v>120044.41</v>
      </c>
    </row>
    <row r="111" spans="1:14">
      <c r="A111" t="s">
        <v>50</v>
      </c>
      <c r="B111" s="2">
        <v>45689</v>
      </c>
      <c r="C111" t="s">
        <v>27</v>
      </c>
      <c r="D111" t="s">
        <v>28</v>
      </c>
      <c r="E111">
        <v>80176.34</v>
      </c>
      <c r="F111">
        <v>9489</v>
      </c>
      <c r="G111">
        <v>0.14199999999999999</v>
      </c>
      <c r="H111">
        <v>22</v>
      </c>
      <c r="I111">
        <v>94.3</v>
      </c>
      <c r="J111">
        <v>2.67</v>
      </c>
      <c r="K111">
        <v>0</v>
      </c>
      <c r="L111">
        <v>3.5</v>
      </c>
      <c r="M111">
        <v>873380.02</v>
      </c>
      <c r="N111">
        <v>149734.76</v>
      </c>
    </row>
    <row r="112" spans="1:14">
      <c r="A112" t="s">
        <v>50</v>
      </c>
      <c r="B112" s="2">
        <v>45717</v>
      </c>
      <c r="C112" t="s">
        <v>27</v>
      </c>
      <c r="D112" t="s">
        <v>28</v>
      </c>
      <c r="E112">
        <v>33605.18</v>
      </c>
      <c r="F112">
        <v>9225</v>
      </c>
      <c r="G112">
        <v>0.159</v>
      </c>
      <c r="H112">
        <v>23</v>
      </c>
      <c r="I112">
        <v>88.4</v>
      </c>
      <c r="J112">
        <v>5.91</v>
      </c>
      <c r="K112">
        <v>0</v>
      </c>
      <c r="L112">
        <v>2.8</v>
      </c>
      <c r="M112">
        <v>697287.9</v>
      </c>
      <c r="N112">
        <v>128208.33</v>
      </c>
    </row>
    <row r="113" spans="1:14">
      <c r="A113" t="s">
        <v>50</v>
      </c>
      <c r="B113" s="2">
        <v>45748</v>
      </c>
      <c r="C113" t="s">
        <v>27</v>
      </c>
      <c r="D113" t="s">
        <v>28</v>
      </c>
      <c r="E113">
        <v>25990.54</v>
      </c>
      <c r="F113">
        <v>9249</v>
      </c>
      <c r="G113">
        <v>0.13900000000000001</v>
      </c>
      <c r="H113">
        <v>23</v>
      </c>
      <c r="I113">
        <v>92.5</v>
      </c>
      <c r="J113">
        <v>6.37</v>
      </c>
      <c r="K113">
        <v>0</v>
      </c>
      <c r="L113">
        <v>3.3</v>
      </c>
      <c r="M113">
        <v>718074.79</v>
      </c>
      <c r="N113">
        <v>115819.87</v>
      </c>
    </row>
    <row r="114" spans="1:14">
      <c r="A114" t="s">
        <v>51</v>
      </c>
      <c r="B114" s="2">
        <v>45658</v>
      </c>
      <c r="C114" t="s">
        <v>27</v>
      </c>
      <c r="D114" t="s">
        <v>16</v>
      </c>
      <c r="E114">
        <v>43685.14</v>
      </c>
      <c r="F114">
        <v>7821</v>
      </c>
      <c r="G114">
        <v>0.19</v>
      </c>
      <c r="H114">
        <v>17</v>
      </c>
      <c r="I114">
        <v>91</v>
      </c>
      <c r="J114">
        <v>2.4900000000000002</v>
      </c>
      <c r="K114">
        <v>1</v>
      </c>
      <c r="L114">
        <v>4.7</v>
      </c>
      <c r="M114">
        <v>714942.43</v>
      </c>
      <c r="N114">
        <v>94697.71</v>
      </c>
    </row>
    <row r="115" spans="1:14">
      <c r="A115" t="s">
        <v>51</v>
      </c>
      <c r="B115" s="2">
        <v>45689</v>
      </c>
      <c r="C115" t="s">
        <v>27</v>
      </c>
      <c r="D115" t="s">
        <v>16</v>
      </c>
      <c r="E115">
        <v>57360.01</v>
      </c>
      <c r="F115">
        <v>8434</v>
      </c>
      <c r="G115">
        <v>0.151</v>
      </c>
      <c r="H115">
        <v>19</v>
      </c>
      <c r="I115">
        <v>84.1</v>
      </c>
      <c r="J115">
        <v>1.56</v>
      </c>
      <c r="K115">
        <v>0</v>
      </c>
      <c r="L115">
        <v>4.7</v>
      </c>
      <c r="M115">
        <v>820519.04</v>
      </c>
      <c r="N115">
        <v>99035.88</v>
      </c>
    </row>
    <row r="116" spans="1:14">
      <c r="A116" t="s">
        <v>51</v>
      </c>
      <c r="B116" s="2">
        <v>45717</v>
      </c>
      <c r="C116" t="s">
        <v>27</v>
      </c>
      <c r="D116" t="s">
        <v>16</v>
      </c>
      <c r="E116">
        <v>42415.47</v>
      </c>
      <c r="F116">
        <v>8512</v>
      </c>
      <c r="G116">
        <v>0.13300000000000001</v>
      </c>
      <c r="H116">
        <v>18</v>
      </c>
      <c r="I116">
        <v>96.8</v>
      </c>
      <c r="J116">
        <v>14.95</v>
      </c>
      <c r="K116">
        <v>0</v>
      </c>
      <c r="L116">
        <v>4.5999999999999996</v>
      </c>
      <c r="M116">
        <v>684217.32</v>
      </c>
      <c r="N116">
        <v>136217.19</v>
      </c>
    </row>
    <row r="117" spans="1:14">
      <c r="A117" t="s">
        <v>51</v>
      </c>
      <c r="B117" s="2">
        <v>45748</v>
      </c>
      <c r="C117" t="s">
        <v>27</v>
      </c>
      <c r="D117" t="s">
        <v>16</v>
      </c>
      <c r="E117">
        <v>54968.98</v>
      </c>
      <c r="F117">
        <v>7816</v>
      </c>
      <c r="G117">
        <v>0.23200000000000001</v>
      </c>
      <c r="H117">
        <v>19</v>
      </c>
      <c r="I117">
        <v>95.7</v>
      </c>
      <c r="J117">
        <v>7.85</v>
      </c>
      <c r="K117">
        <v>0</v>
      </c>
      <c r="L117">
        <v>4.7</v>
      </c>
      <c r="M117">
        <v>735480.19</v>
      </c>
      <c r="N117">
        <v>88342.11</v>
      </c>
    </row>
    <row r="118" spans="1:14">
      <c r="A118" t="s">
        <v>52</v>
      </c>
      <c r="B118" s="2">
        <v>45658</v>
      </c>
      <c r="C118" t="s">
        <v>20</v>
      </c>
      <c r="D118" t="s">
        <v>18</v>
      </c>
      <c r="E118">
        <v>43896.13</v>
      </c>
      <c r="F118">
        <v>3853</v>
      </c>
      <c r="G118">
        <v>8.7999999999999995E-2</v>
      </c>
      <c r="H118">
        <v>13</v>
      </c>
      <c r="I118">
        <v>83</v>
      </c>
      <c r="J118">
        <v>6.8</v>
      </c>
      <c r="K118">
        <v>0</v>
      </c>
      <c r="L118">
        <v>4.4000000000000004</v>
      </c>
      <c r="M118">
        <v>509484.81</v>
      </c>
      <c r="N118">
        <v>85742.36</v>
      </c>
    </row>
    <row r="119" spans="1:14">
      <c r="A119" t="s">
        <v>52</v>
      </c>
      <c r="B119" s="2">
        <v>45689</v>
      </c>
      <c r="C119" t="s">
        <v>20</v>
      </c>
      <c r="D119" t="s">
        <v>18</v>
      </c>
      <c r="E119">
        <v>83044.17</v>
      </c>
      <c r="F119">
        <v>3694</v>
      </c>
      <c r="G119">
        <v>0</v>
      </c>
      <c r="H119">
        <v>14</v>
      </c>
      <c r="I119">
        <v>89.4</v>
      </c>
      <c r="J119">
        <v>2.2000000000000002</v>
      </c>
      <c r="K119">
        <v>0</v>
      </c>
      <c r="L119">
        <v>3.7</v>
      </c>
      <c r="M119">
        <v>654317.09</v>
      </c>
      <c r="N119">
        <v>121446.89</v>
      </c>
    </row>
    <row r="120" spans="1:14">
      <c r="A120" t="s">
        <v>52</v>
      </c>
      <c r="B120" s="2">
        <v>45717</v>
      </c>
      <c r="C120" t="s">
        <v>20</v>
      </c>
      <c r="D120" t="s">
        <v>18</v>
      </c>
      <c r="E120">
        <v>48396.13</v>
      </c>
      <c r="F120">
        <v>4423</v>
      </c>
      <c r="G120">
        <v>6.9000000000000006E-2</v>
      </c>
      <c r="H120">
        <v>15</v>
      </c>
      <c r="I120">
        <v>85.7</v>
      </c>
      <c r="J120">
        <v>1.88</v>
      </c>
      <c r="K120">
        <v>0</v>
      </c>
      <c r="L120">
        <v>3.9</v>
      </c>
      <c r="M120">
        <v>557487.26</v>
      </c>
      <c r="N120">
        <v>76432.19</v>
      </c>
    </row>
    <row r="121" spans="1:14">
      <c r="A121" t="s">
        <v>52</v>
      </c>
      <c r="B121" s="2">
        <v>45748</v>
      </c>
      <c r="C121" t="s">
        <v>20</v>
      </c>
      <c r="D121" t="s">
        <v>18</v>
      </c>
      <c r="E121">
        <v>19063.48</v>
      </c>
      <c r="F121">
        <v>1906</v>
      </c>
      <c r="G121">
        <v>0.216</v>
      </c>
      <c r="H121">
        <v>10</v>
      </c>
      <c r="I121">
        <v>97.8</v>
      </c>
      <c r="J121">
        <v>15.79</v>
      </c>
      <c r="K121">
        <v>0</v>
      </c>
      <c r="L121">
        <v>4.4000000000000004</v>
      </c>
      <c r="M121">
        <v>441275.42</v>
      </c>
      <c r="N121">
        <v>58234.87</v>
      </c>
    </row>
    <row r="122" spans="1:14">
      <c r="A122" t="s">
        <v>53</v>
      </c>
      <c r="B122" s="2">
        <v>45658</v>
      </c>
      <c r="C122" t="s">
        <v>24</v>
      </c>
      <c r="D122" t="s">
        <v>18</v>
      </c>
      <c r="E122">
        <v>61541.21</v>
      </c>
      <c r="F122">
        <v>10396</v>
      </c>
      <c r="G122">
        <v>0.123</v>
      </c>
      <c r="H122">
        <v>25</v>
      </c>
      <c r="I122">
        <v>88.1</v>
      </c>
      <c r="J122">
        <v>2.34</v>
      </c>
      <c r="K122">
        <v>1</v>
      </c>
      <c r="L122">
        <v>4.8</v>
      </c>
      <c r="M122">
        <v>914544.17</v>
      </c>
      <c r="N122">
        <v>79831.73</v>
      </c>
    </row>
    <row r="123" spans="1:14">
      <c r="A123" t="s">
        <v>53</v>
      </c>
      <c r="B123" s="2">
        <v>45689</v>
      </c>
      <c r="C123" t="s">
        <v>24</v>
      </c>
      <c r="D123" t="s">
        <v>18</v>
      </c>
      <c r="E123">
        <v>44747</v>
      </c>
      <c r="F123">
        <v>11076</v>
      </c>
      <c r="G123">
        <v>0.17599999999999999</v>
      </c>
      <c r="H123">
        <v>27</v>
      </c>
      <c r="I123">
        <v>98.3</v>
      </c>
      <c r="J123">
        <v>0.54</v>
      </c>
      <c r="K123">
        <v>0</v>
      </c>
      <c r="L123">
        <v>4.4000000000000004</v>
      </c>
      <c r="M123">
        <v>842439.67</v>
      </c>
      <c r="N123">
        <v>169983.63</v>
      </c>
    </row>
    <row r="124" spans="1:14">
      <c r="A124" t="s">
        <v>53</v>
      </c>
      <c r="B124" s="2">
        <v>45717</v>
      </c>
      <c r="C124" t="s">
        <v>24</v>
      </c>
      <c r="D124" t="s">
        <v>18</v>
      </c>
      <c r="E124">
        <v>56517.9</v>
      </c>
      <c r="F124">
        <v>9574</v>
      </c>
      <c r="G124">
        <v>0.20399999999999999</v>
      </c>
      <c r="H124">
        <v>20</v>
      </c>
      <c r="I124">
        <v>88.2</v>
      </c>
      <c r="J124">
        <v>5.37</v>
      </c>
      <c r="K124">
        <v>1</v>
      </c>
      <c r="L124">
        <v>4.9000000000000004</v>
      </c>
      <c r="M124">
        <v>842157.92</v>
      </c>
      <c r="N124">
        <v>107348.22</v>
      </c>
    </row>
    <row r="125" spans="1:14">
      <c r="A125" t="s">
        <v>53</v>
      </c>
      <c r="B125" s="2">
        <v>45748</v>
      </c>
      <c r="C125" t="s">
        <v>24</v>
      </c>
      <c r="D125" t="s">
        <v>18</v>
      </c>
      <c r="E125">
        <v>37828.5</v>
      </c>
      <c r="F125">
        <v>8221</v>
      </c>
      <c r="G125">
        <v>9.6000000000000002E-2</v>
      </c>
      <c r="H125">
        <v>19</v>
      </c>
      <c r="I125">
        <v>81.5</v>
      </c>
      <c r="J125">
        <v>3.19</v>
      </c>
      <c r="K125">
        <v>0</v>
      </c>
      <c r="L125">
        <v>4.8</v>
      </c>
      <c r="M125">
        <v>697155.3</v>
      </c>
      <c r="N125">
        <v>136408.54</v>
      </c>
    </row>
    <row r="126" spans="1:14">
      <c r="A126" t="s">
        <v>54</v>
      </c>
      <c r="B126" s="2">
        <v>45658</v>
      </c>
      <c r="C126" t="s">
        <v>15</v>
      </c>
      <c r="D126" t="s">
        <v>18</v>
      </c>
      <c r="E126">
        <v>66250.53</v>
      </c>
      <c r="F126">
        <v>10618</v>
      </c>
      <c r="G126">
        <v>0.14199999999999999</v>
      </c>
      <c r="H126">
        <v>27</v>
      </c>
      <c r="I126">
        <v>88.3</v>
      </c>
      <c r="J126">
        <v>1.1000000000000001</v>
      </c>
      <c r="K126">
        <v>1</v>
      </c>
      <c r="L126">
        <v>4.4000000000000004</v>
      </c>
      <c r="M126">
        <v>849018.3</v>
      </c>
      <c r="N126">
        <v>149035.13</v>
      </c>
    </row>
    <row r="127" spans="1:14">
      <c r="A127" t="s">
        <v>54</v>
      </c>
      <c r="B127" s="2">
        <v>45689</v>
      </c>
      <c r="C127" t="s">
        <v>15</v>
      </c>
      <c r="D127" t="s">
        <v>18</v>
      </c>
      <c r="E127">
        <v>68410.929999999993</v>
      </c>
      <c r="F127">
        <v>10596</v>
      </c>
      <c r="G127">
        <v>0.20699999999999999</v>
      </c>
      <c r="H127">
        <v>25</v>
      </c>
      <c r="I127">
        <v>81.2</v>
      </c>
      <c r="J127">
        <v>0.21</v>
      </c>
      <c r="K127">
        <v>0</v>
      </c>
      <c r="L127">
        <v>4</v>
      </c>
      <c r="M127">
        <v>801830.35</v>
      </c>
      <c r="N127">
        <v>114875.32</v>
      </c>
    </row>
    <row r="128" spans="1:14">
      <c r="A128" t="s">
        <v>54</v>
      </c>
      <c r="B128" s="2">
        <v>45717</v>
      </c>
      <c r="C128" t="s">
        <v>15</v>
      </c>
      <c r="D128" t="s">
        <v>18</v>
      </c>
      <c r="E128">
        <v>50735.63</v>
      </c>
      <c r="F128">
        <v>9619</v>
      </c>
      <c r="G128">
        <v>0.14399999999999999</v>
      </c>
      <c r="H128">
        <v>19</v>
      </c>
      <c r="I128">
        <v>93.8</v>
      </c>
      <c r="J128">
        <v>5.12</v>
      </c>
      <c r="K128">
        <v>1</v>
      </c>
      <c r="L128">
        <v>4.5</v>
      </c>
      <c r="M128">
        <v>725235.28</v>
      </c>
      <c r="N128">
        <v>121632.24</v>
      </c>
    </row>
    <row r="129" spans="1:14">
      <c r="A129" t="s">
        <v>54</v>
      </c>
      <c r="B129" s="2">
        <v>45748</v>
      </c>
      <c r="C129" t="s">
        <v>15</v>
      </c>
      <c r="D129" t="s">
        <v>18</v>
      </c>
      <c r="E129">
        <v>66455.8</v>
      </c>
      <c r="F129">
        <v>10836</v>
      </c>
      <c r="G129">
        <v>8.8999999999999996E-2</v>
      </c>
      <c r="H129">
        <v>25</v>
      </c>
      <c r="I129">
        <v>85</v>
      </c>
      <c r="J129">
        <v>9.77</v>
      </c>
      <c r="K129">
        <v>0</v>
      </c>
      <c r="L129">
        <v>4.5</v>
      </c>
      <c r="M129">
        <v>811452.72</v>
      </c>
      <c r="N129">
        <v>131325.67000000001</v>
      </c>
    </row>
    <row r="130" spans="1:14">
      <c r="A130" t="s">
        <v>55</v>
      </c>
      <c r="B130" s="2">
        <v>45658</v>
      </c>
      <c r="C130" t="s">
        <v>20</v>
      </c>
      <c r="D130" t="s">
        <v>18</v>
      </c>
      <c r="E130">
        <v>70276.28</v>
      </c>
      <c r="F130">
        <v>3043</v>
      </c>
      <c r="G130">
        <v>7.9000000000000001E-2</v>
      </c>
      <c r="H130">
        <v>9</v>
      </c>
      <c r="I130">
        <v>87.9</v>
      </c>
      <c r="J130">
        <v>3.77</v>
      </c>
      <c r="K130">
        <v>0</v>
      </c>
      <c r="L130">
        <v>4.4000000000000004</v>
      </c>
      <c r="M130">
        <v>527300.13</v>
      </c>
      <c r="N130">
        <v>84197.87</v>
      </c>
    </row>
    <row r="131" spans="1:14">
      <c r="A131" t="s">
        <v>55</v>
      </c>
      <c r="B131" s="2">
        <v>45717</v>
      </c>
      <c r="C131" t="s">
        <v>20</v>
      </c>
      <c r="D131" t="s">
        <v>18</v>
      </c>
      <c r="E131">
        <v>52285.45</v>
      </c>
      <c r="F131">
        <v>3618</v>
      </c>
      <c r="G131">
        <v>8.5999999999999993E-2</v>
      </c>
      <c r="H131">
        <v>11</v>
      </c>
      <c r="I131">
        <v>95.6</v>
      </c>
      <c r="J131">
        <v>5.17</v>
      </c>
      <c r="K131">
        <v>1</v>
      </c>
      <c r="L131">
        <v>4.4000000000000004</v>
      </c>
      <c r="M131">
        <v>593247.25</v>
      </c>
      <c r="N131">
        <v>81240.289999999994</v>
      </c>
    </row>
    <row r="132" spans="1:14">
      <c r="A132" t="s">
        <v>55</v>
      </c>
      <c r="B132" s="2">
        <v>45748</v>
      </c>
      <c r="C132" t="s">
        <v>20</v>
      </c>
      <c r="D132" t="s">
        <v>18</v>
      </c>
      <c r="E132">
        <v>70366.759999999995</v>
      </c>
      <c r="F132">
        <v>1963</v>
      </c>
      <c r="G132">
        <v>0.182</v>
      </c>
      <c r="H132">
        <v>8</v>
      </c>
      <c r="I132">
        <v>89.8</v>
      </c>
      <c r="J132">
        <v>3.2</v>
      </c>
      <c r="K132">
        <v>0</v>
      </c>
      <c r="L132">
        <v>4.5999999999999996</v>
      </c>
      <c r="M132">
        <v>529075.94999999995</v>
      </c>
      <c r="N132">
        <v>95978.83</v>
      </c>
    </row>
    <row r="133" spans="1:14">
      <c r="A133" t="s">
        <v>56</v>
      </c>
      <c r="B133" s="2">
        <v>45689</v>
      </c>
      <c r="C133" t="s">
        <v>24</v>
      </c>
      <c r="D133" t="s">
        <v>16</v>
      </c>
      <c r="E133">
        <v>75109.67</v>
      </c>
      <c r="F133">
        <v>6244</v>
      </c>
      <c r="G133">
        <v>7.9000000000000001E-2</v>
      </c>
      <c r="H133">
        <v>15</v>
      </c>
      <c r="I133">
        <v>96.3</v>
      </c>
      <c r="J133">
        <v>7.38</v>
      </c>
      <c r="K133">
        <v>0</v>
      </c>
      <c r="L133">
        <v>3.7</v>
      </c>
      <c r="M133">
        <v>743348.84</v>
      </c>
      <c r="N133">
        <v>104186.09</v>
      </c>
    </row>
    <row r="134" spans="1:14">
      <c r="A134" t="s">
        <v>56</v>
      </c>
      <c r="B134" s="2">
        <v>45717</v>
      </c>
      <c r="C134" t="s">
        <v>24</v>
      </c>
      <c r="D134" t="s">
        <v>16</v>
      </c>
      <c r="E134">
        <v>69779</v>
      </c>
      <c r="F134">
        <v>6544</v>
      </c>
      <c r="G134">
        <v>0.152</v>
      </c>
      <c r="H134">
        <v>18</v>
      </c>
      <c r="I134">
        <v>90.2</v>
      </c>
      <c r="J134">
        <v>0.85</v>
      </c>
      <c r="K134">
        <v>1</v>
      </c>
      <c r="L134">
        <v>3.3</v>
      </c>
      <c r="M134">
        <v>758827.64</v>
      </c>
      <c r="N134">
        <v>161439.48000000001</v>
      </c>
    </row>
    <row r="135" spans="1:14">
      <c r="A135" t="s">
        <v>56</v>
      </c>
      <c r="B135" s="2">
        <v>45748</v>
      </c>
      <c r="C135" t="s">
        <v>24</v>
      </c>
      <c r="D135" t="s">
        <v>16</v>
      </c>
      <c r="E135">
        <v>44211.95</v>
      </c>
      <c r="F135">
        <v>5465</v>
      </c>
      <c r="G135">
        <v>0.187</v>
      </c>
      <c r="H135">
        <v>12</v>
      </c>
      <c r="I135">
        <v>90</v>
      </c>
      <c r="J135">
        <v>2.89</v>
      </c>
      <c r="K135">
        <v>0</v>
      </c>
      <c r="L135">
        <v>3.6</v>
      </c>
      <c r="M135">
        <v>646559.71</v>
      </c>
      <c r="N135">
        <v>97981.75</v>
      </c>
    </row>
    <row r="136" spans="1:14">
      <c r="A136" t="s">
        <v>57</v>
      </c>
      <c r="B136" s="2">
        <v>45658</v>
      </c>
      <c r="C136" t="s">
        <v>27</v>
      </c>
      <c r="D136" t="s">
        <v>18</v>
      </c>
      <c r="E136">
        <v>51430.31</v>
      </c>
      <c r="F136">
        <v>6427</v>
      </c>
      <c r="G136">
        <v>0.23400000000000001</v>
      </c>
      <c r="H136">
        <v>14</v>
      </c>
      <c r="I136">
        <v>88.8</v>
      </c>
      <c r="J136">
        <v>0.77</v>
      </c>
      <c r="K136">
        <v>0</v>
      </c>
      <c r="L136">
        <v>4.0999999999999996</v>
      </c>
      <c r="M136">
        <v>715890.53</v>
      </c>
      <c r="N136">
        <v>109032.15</v>
      </c>
    </row>
    <row r="137" spans="1:14">
      <c r="A137" t="s">
        <v>57</v>
      </c>
      <c r="B137" s="2">
        <v>45689</v>
      </c>
      <c r="C137" t="s">
        <v>27</v>
      </c>
      <c r="D137" t="s">
        <v>18</v>
      </c>
      <c r="E137">
        <v>45706.49</v>
      </c>
      <c r="F137">
        <v>6704</v>
      </c>
      <c r="G137">
        <v>3.7999999999999999E-2</v>
      </c>
      <c r="H137">
        <v>15</v>
      </c>
      <c r="I137">
        <v>94.2</v>
      </c>
      <c r="J137">
        <v>2.92</v>
      </c>
      <c r="K137">
        <v>0</v>
      </c>
      <c r="L137">
        <v>4.2</v>
      </c>
      <c r="M137">
        <v>715097.57</v>
      </c>
      <c r="N137">
        <v>151875.85999999999</v>
      </c>
    </row>
    <row r="138" spans="1:14">
      <c r="A138" t="s">
        <v>57</v>
      </c>
      <c r="B138" s="2">
        <v>45717</v>
      </c>
      <c r="C138" t="s">
        <v>27</v>
      </c>
      <c r="D138" t="s">
        <v>18</v>
      </c>
      <c r="E138">
        <v>44034.6</v>
      </c>
      <c r="F138">
        <v>5645</v>
      </c>
      <c r="G138">
        <v>6.9000000000000006E-2</v>
      </c>
      <c r="H138">
        <v>18</v>
      </c>
      <c r="I138">
        <v>88.5</v>
      </c>
      <c r="J138">
        <v>3.07</v>
      </c>
      <c r="K138">
        <v>0</v>
      </c>
      <c r="L138">
        <v>3.8</v>
      </c>
      <c r="M138">
        <v>682639.28</v>
      </c>
      <c r="N138">
        <v>77557.53</v>
      </c>
    </row>
    <row r="139" spans="1:14">
      <c r="A139" t="s">
        <v>57</v>
      </c>
      <c r="B139" s="2">
        <v>45748</v>
      </c>
      <c r="C139" t="s">
        <v>27</v>
      </c>
      <c r="D139" t="s">
        <v>18</v>
      </c>
      <c r="E139">
        <v>50198.12</v>
      </c>
      <c r="F139">
        <v>6089</v>
      </c>
      <c r="G139">
        <v>0.182</v>
      </c>
      <c r="H139">
        <v>19</v>
      </c>
      <c r="I139">
        <v>94</v>
      </c>
      <c r="J139">
        <v>9.6999999999999993</v>
      </c>
      <c r="K139">
        <v>0</v>
      </c>
      <c r="L139">
        <v>3.9</v>
      </c>
      <c r="M139">
        <v>695098.51</v>
      </c>
      <c r="N139">
        <v>108192.75</v>
      </c>
    </row>
    <row r="140" spans="1:14">
      <c r="A140" t="s">
        <v>58</v>
      </c>
      <c r="B140" s="2">
        <v>45658</v>
      </c>
      <c r="C140" t="s">
        <v>20</v>
      </c>
      <c r="D140" t="s">
        <v>16</v>
      </c>
      <c r="E140">
        <v>70488.2</v>
      </c>
      <c r="F140">
        <v>4312</v>
      </c>
      <c r="G140">
        <v>0.16900000000000001</v>
      </c>
      <c r="H140">
        <v>12</v>
      </c>
      <c r="I140">
        <v>90.2</v>
      </c>
      <c r="J140">
        <v>3.71</v>
      </c>
      <c r="K140">
        <v>0</v>
      </c>
      <c r="L140">
        <v>3.2</v>
      </c>
      <c r="M140">
        <v>577732.56999999995</v>
      </c>
      <c r="N140">
        <v>93804.27</v>
      </c>
    </row>
    <row r="141" spans="1:14">
      <c r="A141" t="s">
        <v>58</v>
      </c>
      <c r="B141" s="2">
        <v>45689</v>
      </c>
      <c r="C141" t="s">
        <v>20</v>
      </c>
      <c r="D141" t="s">
        <v>16</v>
      </c>
      <c r="E141">
        <v>50909.27</v>
      </c>
      <c r="F141">
        <v>3152</v>
      </c>
      <c r="G141">
        <v>0.06</v>
      </c>
      <c r="H141">
        <v>13</v>
      </c>
      <c r="I141">
        <v>93.7</v>
      </c>
      <c r="J141">
        <v>10.79</v>
      </c>
      <c r="K141">
        <v>0</v>
      </c>
      <c r="L141">
        <v>3.5</v>
      </c>
      <c r="M141">
        <v>537058.32999999996</v>
      </c>
      <c r="N141">
        <v>93555.71</v>
      </c>
    </row>
    <row r="142" spans="1:14">
      <c r="A142" t="s">
        <v>58</v>
      </c>
      <c r="B142" s="2">
        <v>45717</v>
      </c>
      <c r="C142" t="s">
        <v>20</v>
      </c>
      <c r="D142" t="s">
        <v>16</v>
      </c>
      <c r="E142">
        <v>53351.7</v>
      </c>
      <c r="F142">
        <v>4259</v>
      </c>
      <c r="G142">
        <v>0.156</v>
      </c>
      <c r="H142">
        <v>15</v>
      </c>
      <c r="I142">
        <v>93.7</v>
      </c>
      <c r="J142">
        <v>6.03</v>
      </c>
      <c r="K142">
        <v>0</v>
      </c>
      <c r="L142">
        <v>3.4</v>
      </c>
      <c r="M142">
        <v>601568.87</v>
      </c>
      <c r="N142">
        <v>91634.82</v>
      </c>
    </row>
    <row r="143" spans="1:14">
      <c r="A143" t="s">
        <v>58</v>
      </c>
      <c r="B143" s="2">
        <v>45748</v>
      </c>
      <c r="C143" t="s">
        <v>20</v>
      </c>
      <c r="D143" t="s">
        <v>16</v>
      </c>
      <c r="E143">
        <v>60322.400000000001</v>
      </c>
      <c r="F143">
        <v>3350</v>
      </c>
      <c r="G143">
        <v>0.108</v>
      </c>
      <c r="H143">
        <v>12</v>
      </c>
      <c r="I143">
        <v>89.4</v>
      </c>
      <c r="J143">
        <v>4.92</v>
      </c>
      <c r="K143">
        <v>0</v>
      </c>
      <c r="L143">
        <v>3.4</v>
      </c>
      <c r="M143">
        <v>570964.84</v>
      </c>
      <c r="N143">
        <v>81331.070000000007</v>
      </c>
    </row>
    <row r="144" spans="1:14">
      <c r="A144" t="s">
        <v>59</v>
      </c>
      <c r="B144" s="2">
        <v>45658</v>
      </c>
      <c r="C144" t="s">
        <v>24</v>
      </c>
      <c r="D144" t="s">
        <v>28</v>
      </c>
      <c r="E144">
        <v>51575.68</v>
      </c>
      <c r="F144">
        <v>5329</v>
      </c>
      <c r="G144">
        <v>4.7E-2</v>
      </c>
      <c r="H144">
        <v>17</v>
      </c>
      <c r="I144">
        <v>88.1</v>
      </c>
      <c r="J144">
        <v>19.78</v>
      </c>
      <c r="K144">
        <v>0</v>
      </c>
      <c r="L144">
        <v>3.8</v>
      </c>
      <c r="M144">
        <v>614024.91</v>
      </c>
      <c r="N144">
        <v>84828.93</v>
      </c>
    </row>
    <row r="145" spans="1:14">
      <c r="A145" t="s">
        <v>59</v>
      </c>
      <c r="B145" s="2">
        <v>45689</v>
      </c>
      <c r="C145" t="s">
        <v>24</v>
      </c>
      <c r="D145" t="s">
        <v>28</v>
      </c>
      <c r="E145">
        <v>43319.94</v>
      </c>
      <c r="F145">
        <v>6551</v>
      </c>
      <c r="G145">
        <v>4.3999999999999997E-2</v>
      </c>
      <c r="H145">
        <v>13</v>
      </c>
      <c r="I145">
        <v>99</v>
      </c>
      <c r="J145">
        <v>5.45</v>
      </c>
      <c r="K145">
        <v>0</v>
      </c>
      <c r="L145">
        <v>4.0999999999999996</v>
      </c>
      <c r="M145">
        <v>712868.35</v>
      </c>
      <c r="N145">
        <v>133650.51</v>
      </c>
    </row>
    <row r="146" spans="1:14">
      <c r="A146" t="s">
        <v>59</v>
      </c>
      <c r="B146" s="2">
        <v>45717</v>
      </c>
      <c r="C146" t="s">
        <v>24</v>
      </c>
      <c r="D146" t="s">
        <v>28</v>
      </c>
      <c r="E146">
        <v>47093.55</v>
      </c>
      <c r="F146">
        <v>5550</v>
      </c>
      <c r="G146">
        <v>0.1</v>
      </c>
      <c r="H146">
        <v>12</v>
      </c>
      <c r="I146">
        <v>95</v>
      </c>
      <c r="J146">
        <v>2.33</v>
      </c>
      <c r="K146">
        <v>1</v>
      </c>
      <c r="L146">
        <v>3.7</v>
      </c>
      <c r="M146">
        <v>696744.15</v>
      </c>
      <c r="N146">
        <v>152230.09</v>
      </c>
    </row>
    <row r="147" spans="1:14">
      <c r="A147" t="s">
        <v>59</v>
      </c>
      <c r="B147" s="2">
        <v>45748</v>
      </c>
      <c r="C147" t="s">
        <v>24</v>
      </c>
      <c r="D147" t="s">
        <v>28</v>
      </c>
      <c r="E147">
        <v>71855.09</v>
      </c>
      <c r="F147">
        <v>5911</v>
      </c>
      <c r="G147">
        <v>0.19700000000000001</v>
      </c>
      <c r="H147">
        <v>15</v>
      </c>
      <c r="I147">
        <v>94.3</v>
      </c>
      <c r="J147">
        <v>3.55</v>
      </c>
      <c r="K147">
        <v>0</v>
      </c>
      <c r="L147">
        <v>4.0999999999999996</v>
      </c>
      <c r="M147">
        <v>725847.99</v>
      </c>
      <c r="N147">
        <v>122698.73</v>
      </c>
    </row>
    <row r="148" spans="1:14">
      <c r="A148" t="s">
        <v>60</v>
      </c>
      <c r="B148" s="2">
        <v>45658</v>
      </c>
      <c r="C148" t="s">
        <v>15</v>
      </c>
      <c r="D148" t="s">
        <v>18</v>
      </c>
      <c r="E148">
        <v>75645.23</v>
      </c>
      <c r="F148">
        <v>9674</v>
      </c>
      <c r="G148">
        <v>0.23400000000000001</v>
      </c>
      <c r="H148">
        <v>21</v>
      </c>
      <c r="I148">
        <v>87.4</v>
      </c>
      <c r="J148">
        <v>0.2</v>
      </c>
      <c r="K148">
        <v>0</v>
      </c>
      <c r="L148">
        <v>4.5</v>
      </c>
      <c r="M148">
        <v>785028.25</v>
      </c>
      <c r="N148">
        <v>110726.44</v>
      </c>
    </row>
    <row r="149" spans="1:14">
      <c r="A149" t="s">
        <v>60</v>
      </c>
      <c r="B149" s="2">
        <v>45689</v>
      </c>
      <c r="C149" t="s">
        <v>15</v>
      </c>
      <c r="D149" t="s">
        <v>18</v>
      </c>
      <c r="E149">
        <v>64374.75</v>
      </c>
      <c r="F149">
        <v>6740</v>
      </c>
      <c r="G149">
        <v>0.16900000000000001</v>
      </c>
      <c r="H149">
        <v>18</v>
      </c>
      <c r="I149">
        <v>87</v>
      </c>
      <c r="J149">
        <v>2.09</v>
      </c>
      <c r="K149">
        <v>0</v>
      </c>
      <c r="L149">
        <v>4.2</v>
      </c>
      <c r="M149">
        <v>698492.67</v>
      </c>
      <c r="N149">
        <v>117319.32</v>
      </c>
    </row>
    <row r="150" spans="1:14">
      <c r="A150" t="s">
        <v>60</v>
      </c>
      <c r="B150" s="2">
        <v>45717</v>
      </c>
      <c r="C150" t="s">
        <v>15</v>
      </c>
      <c r="D150" t="s">
        <v>18</v>
      </c>
      <c r="E150">
        <v>61433.84</v>
      </c>
      <c r="F150">
        <v>7745</v>
      </c>
      <c r="G150">
        <v>0.18</v>
      </c>
      <c r="H150">
        <v>16</v>
      </c>
      <c r="I150">
        <v>90.5</v>
      </c>
      <c r="J150">
        <v>2.2599999999999998</v>
      </c>
      <c r="K150">
        <v>0</v>
      </c>
      <c r="L150">
        <v>4.2</v>
      </c>
      <c r="M150">
        <v>685830.24</v>
      </c>
      <c r="N150">
        <v>128736.18</v>
      </c>
    </row>
    <row r="151" spans="1:14">
      <c r="A151" t="s">
        <v>60</v>
      </c>
      <c r="B151" s="2">
        <v>45748</v>
      </c>
      <c r="C151" t="s">
        <v>15</v>
      </c>
      <c r="D151" t="s">
        <v>18</v>
      </c>
      <c r="E151">
        <v>42698.14</v>
      </c>
      <c r="F151">
        <v>7693</v>
      </c>
      <c r="G151">
        <v>0.187</v>
      </c>
      <c r="H151">
        <v>19</v>
      </c>
      <c r="I151">
        <v>90.1</v>
      </c>
      <c r="J151">
        <v>0.44</v>
      </c>
      <c r="K151">
        <v>0</v>
      </c>
      <c r="L151">
        <v>4.4000000000000004</v>
      </c>
      <c r="M151">
        <v>702318.94</v>
      </c>
      <c r="N151">
        <v>112829.29</v>
      </c>
    </row>
    <row r="152" spans="1:14">
      <c r="A152" t="s">
        <v>61</v>
      </c>
      <c r="B152" s="2">
        <v>45658</v>
      </c>
      <c r="C152" t="s">
        <v>20</v>
      </c>
      <c r="D152" t="s">
        <v>28</v>
      </c>
      <c r="E152">
        <v>86883.31</v>
      </c>
      <c r="F152">
        <v>6424</v>
      </c>
      <c r="G152">
        <v>5.7000000000000002E-2</v>
      </c>
      <c r="H152">
        <v>19</v>
      </c>
      <c r="I152">
        <v>85.2</v>
      </c>
      <c r="J152">
        <v>3.08</v>
      </c>
      <c r="K152">
        <v>0</v>
      </c>
      <c r="L152">
        <v>3.9</v>
      </c>
      <c r="M152">
        <v>700078.32</v>
      </c>
      <c r="N152">
        <v>123707.58</v>
      </c>
    </row>
    <row r="153" spans="1:14">
      <c r="A153" t="s">
        <v>61</v>
      </c>
      <c r="B153" s="2">
        <v>45689</v>
      </c>
      <c r="C153" t="s">
        <v>20</v>
      </c>
      <c r="D153" t="s">
        <v>28</v>
      </c>
      <c r="E153">
        <v>41863.08</v>
      </c>
      <c r="F153">
        <v>5400</v>
      </c>
      <c r="G153">
        <v>0.114</v>
      </c>
      <c r="H153">
        <v>11</v>
      </c>
      <c r="I153">
        <v>91.6</v>
      </c>
      <c r="J153">
        <v>7.99</v>
      </c>
      <c r="K153">
        <v>0</v>
      </c>
      <c r="L153">
        <v>3</v>
      </c>
      <c r="M153">
        <v>602002.31999999995</v>
      </c>
      <c r="N153">
        <v>110453.28</v>
      </c>
    </row>
    <row r="154" spans="1:14">
      <c r="A154" t="s">
        <v>61</v>
      </c>
      <c r="B154" s="2">
        <v>45717</v>
      </c>
      <c r="C154" t="s">
        <v>20</v>
      </c>
      <c r="D154" t="s">
        <v>28</v>
      </c>
      <c r="E154">
        <v>56918.16</v>
      </c>
      <c r="F154">
        <v>7015</v>
      </c>
      <c r="G154">
        <v>0.158</v>
      </c>
      <c r="H154">
        <v>18</v>
      </c>
      <c r="I154">
        <v>74.2</v>
      </c>
      <c r="J154">
        <v>0.2</v>
      </c>
      <c r="K154">
        <v>0</v>
      </c>
      <c r="L154">
        <v>3.4</v>
      </c>
      <c r="M154">
        <v>724216.07</v>
      </c>
      <c r="N154">
        <v>100627.56</v>
      </c>
    </row>
    <row r="155" spans="1:14">
      <c r="A155" t="s">
        <v>61</v>
      </c>
      <c r="B155" s="2">
        <v>45748</v>
      </c>
      <c r="C155" t="s">
        <v>20</v>
      </c>
      <c r="D155" t="s">
        <v>28</v>
      </c>
      <c r="E155">
        <v>23254.57</v>
      </c>
      <c r="F155">
        <v>3847</v>
      </c>
      <c r="G155">
        <v>0.159</v>
      </c>
      <c r="H155">
        <v>12</v>
      </c>
      <c r="I155">
        <v>93</v>
      </c>
      <c r="J155">
        <v>5.46</v>
      </c>
      <c r="K155">
        <v>0</v>
      </c>
      <c r="L155">
        <v>3.3</v>
      </c>
      <c r="M155">
        <v>620973.03</v>
      </c>
      <c r="N155">
        <v>72303.850000000006</v>
      </c>
    </row>
    <row r="156" spans="1:14">
      <c r="A156" t="s">
        <v>62</v>
      </c>
      <c r="B156" s="2">
        <v>45658</v>
      </c>
      <c r="C156" t="s">
        <v>24</v>
      </c>
      <c r="D156" t="s">
        <v>18</v>
      </c>
      <c r="E156">
        <v>41443.410000000003</v>
      </c>
      <c r="F156">
        <v>7455</v>
      </c>
      <c r="G156">
        <v>0.17499999999999999</v>
      </c>
      <c r="H156">
        <v>16</v>
      </c>
      <c r="I156">
        <v>90.1</v>
      </c>
      <c r="J156">
        <v>4.05</v>
      </c>
      <c r="K156">
        <v>0</v>
      </c>
      <c r="L156">
        <v>4</v>
      </c>
      <c r="M156">
        <v>650480.06000000006</v>
      </c>
      <c r="N156">
        <v>109012.07</v>
      </c>
    </row>
    <row r="157" spans="1:14">
      <c r="A157" t="s">
        <v>62</v>
      </c>
      <c r="B157" s="2">
        <v>45689</v>
      </c>
      <c r="C157" t="s">
        <v>24</v>
      </c>
      <c r="D157" t="s">
        <v>18</v>
      </c>
      <c r="E157">
        <v>48438.85</v>
      </c>
      <c r="F157">
        <v>6992</v>
      </c>
      <c r="G157">
        <v>3.4000000000000002E-2</v>
      </c>
      <c r="H157">
        <v>20</v>
      </c>
      <c r="I157">
        <v>91</v>
      </c>
      <c r="J157">
        <v>4.3600000000000003</v>
      </c>
      <c r="K157">
        <v>0</v>
      </c>
      <c r="L157">
        <v>4.2</v>
      </c>
      <c r="M157">
        <v>778298.88</v>
      </c>
      <c r="N157">
        <v>130076.72</v>
      </c>
    </row>
    <row r="158" spans="1:14">
      <c r="A158" t="s">
        <v>62</v>
      </c>
      <c r="B158" s="2">
        <v>45748</v>
      </c>
      <c r="C158" t="s">
        <v>24</v>
      </c>
      <c r="D158" t="s">
        <v>18</v>
      </c>
      <c r="E158">
        <v>66870.62</v>
      </c>
      <c r="F158">
        <v>6055</v>
      </c>
      <c r="G158">
        <v>7.4999999999999997E-2</v>
      </c>
      <c r="H158">
        <v>19</v>
      </c>
      <c r="I158">
        <v>93.8</v>
      </c>
      <c r="J158">
        <v>0.54</v>
      </c>
      <c r="K158">
        <v>0</v>
      </c>
      <c r="L158">
        <v>4.3</v>
      </c>
      <c r="M158">
        <v>692008.64</v>
      </c>
      <c r="N158">
        <v>116337.87</v>
      </c>
    </row>
    <row r="159" spans="1:14">
      <c r="A159" t="s">
        <v>63</v>
      </c>
      <c r="B159" s="2">
        <v>45658</v>
      </c>
      <c r="C159" t="s">
        <v>20</v>
      </c>
      <c r="D159" t="s">
        <v>28</v>
      </c>
      <c r="E159">
        <v>72150.53</v>
      </c>
      <c r="F159">
        <v>9323</v>
      </c>
      <c r="G159">
        <v>0.157</v>
      </c>
      <c r="H159">
        <v>22</v>
      </c>
      <c r="I159">
        <v>82.9</v>
      </c>
      <c r="J159">
        <v>11.37</v>
      </c>
      <c r="K159">
        <v>1</v>
      </c>
      <c r="L159">
        <v>4.3</v>
      </c>
      <c r="M159">
        <v>825797.91</v>
      </c>
      <c r="N159">
        <v>130945.24</v>
      </c>
    </row>
    <row r="160" spans="1:14">
      <c r="A160" t="s">
        <v>63</v>
      </c>
      <c r="B160" s="2">
        <v>45689</v>
      </c>
      <c r="C160" t="s">
        <v>20</v>
      </c>
      <c r="D160" t="s">
        <v>28</v>
      </c>
      <c r="E160">
        <v>35303.300000000003</v>
      </c>
      <c r="F160">
        <v>8789</v>
      </c>
      <c r="G160">
        <v>0.123</v>
      </c>
      <c r="H160">
        <v>22</v>
      </c>
      <c r="I160">
        <v>86.1</v>
      </c>
      <c r="J160">
        <v>9.43</v>
      </c>
      <c r="K160">
        <v>0</v>
      </c>
      <c r="L160">
        <v>4.2</v>
      </c>
      <c r="M160">
        <v>706285.52</v>
      </c>
      <c r="N160">
        <v>138014.72</v>
      </c>
    </row>
    <row r="161" spans="1:14">
      <c r="A161" t="s">
        <v>63</v>
      </c>
      <c r="B161" s="2">
        <v>45717</v>
      </c>
      <c r="C161" t="s">
        <v>20</v>
      </c>
      <c r="D161" t="s">
        <v>28</v>
      </c>
      <c r="E161">
        <v>30301.86</v>
      </c>
      <c r="F161">
        <v>6939</v>
      </c>
      <c r="G161">
        <v>0.09</v>
      </c>
      <c r="H161">
        <v>16</v>
      </c>
      <c r="I161">
        <v>90.3</v>
      </c>
      <c r="J161">
        <v>3.49</v>
      </c>
      <c r="K161">
        <v>0</v>
      </c>
      <c r="L161">
        <v>4</v>
      </c>
      <c r="M161">
        <v>665534.69999999995</v>
      </c>
      <c r="N161">
        <v>113167.73</v>
      </c>
    </row>
    <row r="162" spans="1:14">
      <c r="A162" t="s">
        <v>63</v>
      </c>
      <c r="B162" s="2">
        <v>45748</v>
      </c>
      <c r="C162" t="s">
        <v>20</v>
      </c>
      <c r="D162" t="s">
        <v>28</v>
      </c>
      <c r="E162">
        <v>78432.14</v>
      </c>
      <c r="F162">
        <v>9440</v>
      </c>
      <c r="G162">
        <v>0.126</v>
      </c>
      <c r="H162">
        <v>23</v>
      </c>
      <c r="I162">
        <v>89.2</v>
      </c>
      <c r="J162">
        <v>7.86</v>
      </c>
      <c r="K162">
        <v>0</v>
      </c>
      <c r="L162">
        <v>4.0999999999999996</v>
      </c>
      <c r="M162">
        <v>820729.29</v>
      </c>
      <c r="N162">
        <v>159325.47</v>
      </c>
    </row>
    <row r="163" spans="1:14">
      <c r="A163" t="s">
        <v>64</v>
      </c>
      <c r="B163" s="2">
        <v>45658</v>
      </c>
      <c r="C163" t="s">
        <v>15</v>
      </c>
      <c r="D163" t="s">
        <v>16</v>
      </c>
      <c r="E163">
        <v>62059.18</v>
      </c>
      <c r="F163">
        <v>9374</v>
      </c>
      <c r="G163">
        <v>0.13600000000000001</v>
      </c>
      <c r="H163">
        <v>25</v>
      </c>
      <c r="I163">
        <v>87.1</v>
      </c>
      <c r="J163">
        <v>12.55</v>
      </c>
      <c r="K163">
        <v>0</v>
      </c>
      <c r="L163">
        <v>4.9000000000000004</v>
      </c>
      <c r="M163">
        <v>739831.73</v>
      </c>
      <c r="N163">
        <v>119490.21</v>
      </c>
    </row>
    <row r="164" spans="1:14">
      <c r="A164" t="s">
        <v>64</v>
      </c>
      <c r="B164" s="2">
        <v>45689</v>
      </c>
      <c r="C164" t="s">
        <v>15</v>
      </c>
      <c r="D164" t="s">
        <v>16</v>
      </c>
      <c r="E164">
        <v>32834.480000000003</v>
      </c>
      <c r="F164">
        <v>7576</v>
      </c>
      <c r="G164">
        <v>9.9000000000000005E-2</v>
      </c>
      <c r="H164">
        <v>15</v>
      </c>
      <c r="I164">
        <v>84.1</v>
      </c>
      <c r="J164">
        <v>3.48</v>
      </c>
      <c r="K164">
        <v>0</v>
      </c>
      <c r="L164">
        <v>5</v>
      </c>
      <c r="M164">
        <v>593637.14</v>
      </c>
      <c r="N164">
        <v>106648.14</v>
      </c>
    </row>
    <row r="165" spans="1:14">
      <c r="A165" t="s">
        <v>64</v>
      </c>
      <c r="B165" s="2">
        <v>45717</v>
      </c>
      <c r="C165" t="s">
        <v>15</v>
      </c>
      <c r="D165" t="s">
        <v>16</v>
      </c>
      <c r="E165">
        <v>50825.08</v>
      </c>
      <c r="F165">
        <v>8949</v>
      </c>
      <c r="G165">
        <v>0.157</v>
      </c>
      <c r="H165">
        <v>21</v>
      </c>
      <c r="I165">
        <v>84.7</v>
      </c>
      <c r="J165">
        <v>7.73</v>
      </c>
      <c r="K165">
        <v>0</v>
      </c>
      <c r="L165">
        <v>4.9000000000000004</v>
      </c>
      <c r="M165">
        <v>769702.76</v>
      </c>
      <c r="N165">
        <v>158697</v>
      </c>
    </row>
    <row r="166" spans="1:14">
      <c r="A166" t="s">
        <v>64</v>
      </c>
      <c r="B166" s="2">
        <v>45748</v>
      </c>
      <c r="C166" t="s">
        <v>15</v>
      </c>
      <c r="D166" t="s">
        <v>16</v>
      </c>
      <c r="E166">
        <v>36606.51</v>
      </c>
      <c r="F166">
        <v>7671</v>
      </c>
      <c r="G166">
        <v>0.11799999999999999</v>
      </c>
      <c r="H166">
        <v>18</v>
      </c>
      <c r="I166">
        <v>89.8</v>
      </c>
      <c r="J166">
        <v>0.25</v>
      </c>
      <c r="K166">
        <v>0</v>
      </c>
      <c r="L166">
        <v>4.4000000000000004</v>
      </c>
      <c r="M166">
        <v>679731.57</v>
      </c>
      <c r="N166">
        <v>121546.42</v>
      </c>
    </row>
    <row r="167" spans="1:14">
      <c r="A167" t="s">
        <v>65</v>
      </c>
      <c r="B167" s="2">
        <v>45658</v>
      </c>
      <c r="C167" t="s">
        <v>15</v>
      </c>
      <c r="D167" t="s">
        <v>16</v>
      </c>
      <c r="E167">
        <v>65237.79</v>
      </c>
      <c r="F167">
        <v>8741</v>
      </c>
      <c r="G167">
        <v>0.157</v>
      </c>
      <c r="H167">
        <v>20</v>
      </c>
      <c r="I167">
        <v>94.4</v>
      </c>
      <c r="J167">
        <v>6.43</v>
      </c>
      <c r="K167">
        <v>0</v>
      </c>
      <c r="L167">
        <v>3.3</v>
      </c>
      <c r="M167">
        <v>780344.18</v>
      </c>
      <c r="N167">
        <v>118239.09</v>
      </c>
    </row>
    <row r="168" spans="1:14">
      <c r="A168" t="s">
        <v>65</v>
      </c>
      <c r="B168" s="2">
        <v>45689</v>
      </c>
      <c r="C168" t="s">
        <v>15</v>
      </c>
      <c r="D168" t="s">
        <v>16</v>
      </c>
      <c r="E168">
        <v>43645.98</v>
      </c>
      <c r="F168">
        <v>9480</v>
      </c>
      <c r="G168">
        <v>0.109</v>
      </c>
      <c r="H168">
        <v>22</v>
      </c>
      <c r="I168">
        <v>89</v>
      </c>
      <c r="J168">
        <v>2.11</v>
      </c>
      <c r="K168">
        <v>0</v>
      </c>
      <c r="L168">
        <v>3.1</v>
      </c>
      <c r="M168">
        <v>721364.11</v>
      </c>
      <c r="N168">
        <v>147272.81</v>
      </c>
    </row>
    <row r="169" spans="1:14">
      <c r="A169" t="s">
        <v>65</v>
      </c>
      <c r="B169" s="2">
        <v>45717</v>
      </c>
      <c r="C169" t="s">
        <v>15</v>
      </c>
      <c r="D169" t="s">
        <v>16</v>
      </c>
      <c r="E169">
        <v>68040.149999999994</v>
      </c>
      <c r="F169">
        <v>9826</v>
      </c>
      <c r="G169">
        <v>0.125</v>
      </c>
      <c r="H169">
        <v>20</v>
      </c>
      <c r="I169">
        <v>83.9</v>
      </c>
      <c r="J169">
        <v>9.1199999999999992</v>
      </c>
      <c r="K169">
        <v>0</v>
      </c>
      <c r="L169">
        <v>3.6</v>
      </c>
      <c r="M169">
        <v>758138.29</v>
      </c>
      <c r="N169">
        <v>132975.26</v>
      </c>
    </row>
    <row r="170" spans="1:14">
      <c r="A170" t="s">
        <v>65</v>
      </c>
      <c r="B170" s="2">
        <v>45748</v>
      </c>
      <c r="C170" t="s">
        <v>15</v>
      </c>
      <c r="D170" t="s">
        <v>16</v>
      </c>
      <c r="E170">
        <v>63043.94</v>
      </c>
      <c r="F170">
        <v>10402</v>
      </c>
      <c r="G170">
        <v>0.159</v>
      </c>
      <c r="H170">
        <v>23</v>
      </c>
      <c r="I170">
        <v>93.9</v>
      </c>
      <c r="J170">
        <v>2.71</v>
      </c>
      <c r="K170">
        <v>0</v>
      </c>
      <c r="L170">
        <v>3.1</v>
      </c>
      <c r="M170">
        <v>804264</v>
      </c>
      <c r="N170">
        <v>167117.91</v>
      </c>
    </row>
    <row r="171" spans="1:14">
      <c r="A171" t="s">
        <v>66</v>
      </c>
      <c r="B171" s="2">
        <v>45658</v>
      </c>
      <c r="C171" t="s">
        <v>27</v>
      </c>
      <c r="D171" t="s">
        <v>21</v>
      </c>
      <c r="E171">
        <v>67494.09</v>
      </c>
      <c r="F171">
        <v>12361</v>
      </c>
      <c r="G171">
        <v>4.5999999999999999E-2</v>
      </c>
      <c r="H171">
        <v>24</v>
      </c>
      <c r="I171">
        <v>76.599999999999994</v>
      </c>
      <c r="J171">
        <v>3.65</v>
      </c>
      <c r="K171">
        <v>1</v>
      </c>
      <c r="L171">
        <v>3.7</v>
      </c>
      <c r="M171">
        <v>887537.75</v>
      </c>
      <c r="N171">
        <v>160362.92000000001</v>
      </c>
    </row>
    <row r="172" spans="1:14">
      <c r="A172" t="s">
        <v>66</v>
      </c>
      <c r="B172" s="2">
        <v>45689</v>
      </c>
      <c r="C172" t="s">
        <v>27</v>
      </c>
      <c r="D172" t="s">
        <v>21</v>
      </c>
      <c r="E172">
        <v>29389.32</v>
      </c>
      <c r="F172">
        <v>7925</v>
      </c>
      <c r="G172">
        <v>0.17699999999999999</v>
      </c>
      <c r="H172">
        <v>21</v>
      </c>
      <c r="I172">
        <v>90.9</v>
      </c>
      <c r="J172">
        <v>7.86</v>
      </c>
      <c r="K172">
        <v>0</v>
      </c>
      <c r="L172">
        <v>4</v>
      </c>
      <c r="M172">
        <v>783582</v>
      </c>
      <c r="N172">
        <v>130670.93</v>
      </c>
    </row>
    <row r="173" spans="1:14">
      <c r="A173" t="s">
        <v>66</v>
      </c>
      <c r="B173" s="2">
        <v>45717</v>
      </c>
      <c r="C173" t="s">
        <v>27</v>
      </c>
      <c r="D173" t="s">
        <v>21</v>
      </c>
      <c r="E173">
        <v>40535.089999999997</v>
      </c>
      <c r="F173">
        <v>8870</v>
      </c>
      <c r="G173">
        <v>4.1000000000000002E-2</v>
      </c>
      <c r="H173">
        <v>21</v>
      </c>
      <c r="I173">
        <v>86.6</v>
      </c>
      <c r="J173">
        <v>0.3</v>
      </c>
      <c r="K173">
        <v>0</v>
      </c>
      <c r="L173">
        <v>4.0999999999999996</v>
      </c>
      <c r="M173">
        <v>781955.52</v>
      </c>
      <c r="N173">
        <v>152578.71</v>
      </c>
    </row>
    <row r="174" spans="1:14">
      <c r="A174" t="s">
        <v>66</v>
      </c>
      <c r="B174" s="2">
        <v>45748</v>
      </c>
      <c r="C174" t="s">
        <v>27</v>
      </c>
      <c r="D174" t="s">
        <v>21</v>
      </c>
      <c r="E174">
        <v>74881.56</v>
      </c>
      <c r="F174">
        <v>9999</v>
      </c>
      <c r="G174">
        <v>1.2999999999999999E-2</v>
      </c>
      <c r="H174">
        <v>20</v>
      </c>
      <c r="I174">
        <v>89.6</v>
      </c>
      <c r="J174">
        <v>8.44</v>
      </c>
      <c r="K174">
        <v>0</v>
      </c>
      <c r="L174">
        <v>4.0999999999999996</v>
      </c>
      <c r="M174">
        <v>898031.04</v>
      </c>
      <c r="N174">
        <v>138666.5</v>
      </c>
    </row>
    <row r="175" spans="1:14">
      <c r="A175" t="s">
        <v>67</v>
      </c>
      <c r="B175" s="2">
        <v>45658</v>
      </c>
      <c r="C175" t="s">
        <v>27</v>
      </c>
      <c r="D175" t="s">
        <v>16</v>
      </c>
      <c r="E175">
        <v>68491.11</v>
      </c>
      <c r="F175">
        <v>11154</v>
      </c>
      <c r="G175">
        <v>1E-3</v>
      </c>
      <c r="H175">
        <v>24</v>
      </c>
      <c r="I175">
        <v>89.4</v>
      </c>
      <c r="J175">
        <v>5.27</v>
      </c>
      <c r="K175">
        <v>1</v>
      </c>
      <c r="L175">
        <v>3.9</v>
      </c>
      <c r="M175">
        <v>855341.28</v>
      </c>
      <c r="N175">
        <v>175823.8</v>
      </c>
    </row>
    <row r="176" spans="1:14">
      <c r="A176" t="s">
        <v>67</v>
      </c>
      <c r="B176" s="2">
        <v>45689</v>
      </c>
      <c r="C176" t="s">
        <v>27</v>
      </c>
      <c r="D176" t="s">
        <v>16</v>
      </c>
      <c r="E176">
        <v>45209.25</v>
      </c>
      <c r="F176">
        <v>9287</v>
      </c>
      <c r="G176">
        <v>0.14099999999999999</v>
      </c>
      <c r="H176">
        <v>22</v>
      </c>
      <c r="I176">
        <v>86.4</v>
      </c>
      <c r="J176">
        <v>13.22</v>
      </c>
      <c r="K176">
        <v>0</v>
      </c>
      <c r="L176">
        <v>3.6</v>
      </c>
      <c r="M176">
        <v>751393.88</v>
      </c>
      <c r="N176">
        <v>91480.320000000007</v>
      </c>
    </row>
    <row r="177" spans="1:14">
      <c r="A177" t="s">
        <v>67</v>
      </c>
      <c r="B177" s="2">
        <v>45717</v>
      </c>
      <c r="C177" t="s">
        <v>27</v>
      </c>
      <c r="D177" t="s">
        <v>16</v>
      </c>
      <c r="E177">
        <v>63010.23</v>
      </c>
      <c r="F177">
        <v>9812</v>
      </c>
      <c r="G177">
        <v>0.113</v>
      </c>
      <c r="H177">
        <v>24</v>
      </c>
      <c r="I177">
        <v>76.8</v>
      </c>
      <c r="J177">
        <v>1.02</v>
      </c>
      <c r="K177">
        <v>1</v>
      </c>
      <c r="L177">
        <v>3.8</v>
      </c>
      <c r="M177">
        <v>761077.08</v>
      </c>
      <c r="N177">
        <v>113605.93</v>
      </c>
    </row>
    <row r="178" spans="1:14">
      <c r="A178" t="s">
        <v>67</v>
      </c>
      <c r="B178" s="2">
        <v>45748</v>
      </c>
      <c r="C178" t="s">
        <v>27</v>
      </c>
      <c r="D178" t="s">
        <v>16</v>
      </c>
      <c r="E178">
        <v>57948.88</v>
      </c>
      <c r="F178">
        <v>10741</v>
      </c>
      <c r="G178">
        <v>7.0000000000000007E-2</v>
      </c>
      <c r="H178">
        <v>25</v>
      </c>
      <c r="I178">
        <v>90.1</v>
      </c>
      <c r="J178">
        <v>4.03</v>
      </c>
      <c r="K178">
        <v>0</v>
      </c>
      <c r="L178">
        <v>3.1</v>
      </c>
      <c r="M178">
        <v>819660.59</v>
      </c>
      <c r="N178">
        <v>172699.95</v>
      </c>
    </row>
    <row r="179" spans="1:14">
      <c r="A179" t="s">
        <v>68</v>
      </c>
      <c r="B179" s="2">
        <v>45658</v>
      </c>
      <c r="C179" t="s">
        <v>20</v>
      </c>
      <c r="D179" t="s">
        <v>18</v>
      </c>
      <c r="E179">
        <v>71941.62</v>
      </c>
      <c r="F179">
        <v>6084</v>
      </c>
      <c r="G179">
        <v>7.1999999999999995E-2</v>
      </c>
      <c r="H179">
        <v>13</v>
      </c>
      <c r="I179">
        <v>93.7</v>
      </c>
      <c r="J179">
        <v>2.34</v>
      </c>
      <c r="K179">
        <v>0</v>
      </c>
      <c r="L179">
        <v>4.4000000000000004</v>
      </c>
      <c r="M179">
        <v>681855.56</v>
      </c>
      <c r="N179">
        <v>117645.61</v>
      </c>
    </row>
    <row r="180" spans="1:14">
      <c r="A180" t="s">
        <v>68</v>
      </c>
      <c r="B180" s="2">
        <v>45689</v>
      </c>
      <c r="C180" t="s">
        <v>20</v>
      </c>
      <c r="D180" t="s">
        <v>18</v>
      </c>
      <c r="E180">
        <v>57147.88</v>
      </c>
      <c r="F180">
        <v>5252</v>
      </c>
      <c r="G180">
        <v>0.161</v>
      </c>
      <c r="H180">
        <v>15</v>
      </c>
      <c r="I180">
        <v>95.5</v>
      </c>
      <c r="J180">
        <v>8.51</v>
      </c>
      <c r="K180">
        <v>0</v>
      </c>
      <c r="L180">
        <v>4.4000000000000004</v>
      </c>
      <c r="M180">
        <v>678311.17</v>
      </c>
      <c r="N180">
        <v>132029.76000000001</v>
      </c>
    </row>
    <row r="181" spans="1:14">
      <c r="A181" t="s">
        <v>68</v>
      </c>
      <c r="B181" s="2">
        <v>45717</v>
      </c>
      <c r="C181" t="s">
        <v>20</v>
      </c>
      <c r="D181" t="s">
        <v>18</v>
      </c>
      <c r="E181">
        <v>48031.74</v>
      </c>
      <c r="F181">
        <v>6516</v>
      </c>
      <c r="G181">
        <v>6.7000000000000004E-2</v>
      </c>
      <c r="H181">
        <v>14</v>
      </c>
      <c r="I181">
        <v>99</v>
      </c>
      <c r="J181">
        <v>0.48</v>
      </c>
      <c r="K181">
        <v>1</v>
      </c>
      <c r="L181">
        <v>4.3</v>
      </c>
      <c r="M181">
        <v>765906.95</v>
      </c>
      <c r="N181">
        <v>114005.9</v>
      </c>
    </row>
    <row r="182" spans="1:14">
      <c r="A182" t="s">
        <v>68</v>
      </c>
      <c r="B182" s="2">
        <v>45748</v>
      </c>
      <c r="C182" t="s">
        <v>20</v>
      </c>
      <c r="D182" t="s">
        <v>18</v>
      </c>
      <c r="E182">
        <v>72784.800000000003</v>
      </c>
      <c r="F182">
        <v>7932</v>
      </c>
      <c r="G182">
        <v>9.4E-2</v>
      </c>
      <c r="H182">
        <v>20</v>
      </c>
      <c r="I182">
        <v>74.900000000000006</v>
      </c>
      <c r="J182">
        <v>13.62</v>
      </c>
      <c r="K182">
        <v>0</v>
      </c>
      <c r="L182">
        <v>4.2</v>
      </c>
      <c r="M182">
        <v>712546.38</v>
      </c>
      <c r="N182">
        <v>101480.04</v>
      </c>
    </row>
    <row r="183" spans="1:14">
      <c r="A183" t="s">
        <v>69</v>
      </c>
      <c r="B183" s="2">
        <v>45658</v>
      </c>
      <c r="C183" t="s">
        <v>15</v>
      </c>
      <c r="D183" t="s">
        <v>18</v>
      </c>
      <c r="E183">
        <v>71641.899999999994</v>
      </c>
      <c r="F183">
        <v>3506</v>
      </c>
      <c r="G183">
        <v>0</v>
      </c>
      <c r="H183">
        <v>11</v>
      </c>
      <c r="I183">
        <v>86.4</v>
      </c>
      <c r="J183">
        <v>7.77</v>
      </c>
      <c r="K183">
        <v>0</v>
      </c>
      <c r="L183">
        <v>4.0999999999999996</v>
      </c>
      <c r="M183">
        <v>625993.82999999996</v>
      </c>
      <c r="N183">
        <v>98960.320000000007</v>
      </c>
    </row>
    <row r="184" spans="1:14">
      <c r="A184" t="s">
        <v>69</v>
      </c>
      <c r="B184" s="2">
        <v>45689</v>
      </c>
      <c r="C184" t="s">
        <v>15</v>
      </c>
      <c r="D184" t="s">
        <v>18</v>
      </c>
      <c r="E184">
        <v>55788.61</v>
      </c>
      <c r="F184">
        <v>2312</v>
      </c>
      <c r="G184">
        <v>5.8000000000000003E-2</v>
      </c>
      <c r="H184">
        <v>10</v>
      </c>
      <c r="I184">
        <v>91.3</v>
      </c>
      <c r="J184">
        <v>1.99</v>
      </c>
      <c r="K184">
        <v>0</v>
      </c>
      <c r="L184">
        <v>3.8</v>
      </c>
      <c r="M184">
        <v>550962.93000000005</v>
      </c>
      <c r="N184">
        <v>97144.58</v>
      </c>
    </row>
    <row r="185" spans="1:14">
      <c r="A185" t="s">
        <v>69</v>
      </c>
      <c r="B185" s="2">
        <v>45717</v>
      </c>
      <c r="C185" t="s">
        <v>15</v>
      </c>
      <c r="D185" t="s">
        <v>18</v>
      </c>
      <c r="E185">
        <v>37705.879999999997</v>
      </c>
      <c r="F185">
        <v>1268</v>
      </c>
      <c r="G185">
        <v>0.25900000000000001</v>
      </c>
      <c r="H185">
        <v>9</v>
      </c>
      <c r="I185">
        <v>84.1</v>
      </c>
      <c r="J185">
        <v>4.7699999999999996</v>
      </c>
      <c r="K185">
        <v>0</v>
      </c>
      <c r="L185">
        <v>3.8</v>
      </c>
      <c r="M185">
        <v>443275.59</v>
      </c>
      <c r="N185">
        <v>53544.36</v>
      </c>
    </row>
    <row r="186" spans="1:14">
      <c r="A186" t="s">
        <v>69</v>
      </c>
      <c r="B186" s="2">
        <v>45748</v>
      </c>
      <c r="C186" t="s">
        <v>15</v>
      </c>
      <c r="D186" t="s">
        <v>18</v>
      </c>
      <c r="E186">
        <v>54966.18</v>
      </c>
      <c r="F186">
        <v>4423</v>
      </c>
      <c r="G186">
        <v>0.186</v>
      </c>
      <c r="H186">
        <v>13</v>
      </c>
      <c r="I186">
        <v>88.7</v>
      </c>
      <c r="J186">
        <v>0.2</v>
      </c>
      <c r="K186">
        <v>0</v>
      </c>
      <c r="L186">
        <v>4.4000000000000004</v>
      </c>
      <c r="M186">
        <v>554012.06999999995</v>
      </c>
      <c r="N186">
        <v>81101.62</v>
      </c>
    </row>
    <row r="187" spans="1:14">
      <c r="A187" t="s">
        <v>70</v>
      </c>
      <c r="B187" s="2">
        <v>45658</v>
      </c>
      <c r="C187" t="s">
        <v>27</v>
      </c>
      <c r="D187" t="s">
        <v>16</v>
      </c>
      <c r="E187">
        <v>81796.740000000005</v>
      </c>
      <c r="F187">
        <v>6177</v>
      </c>
      <c r="G187">
        <v>0.16400000000000001</v>
      </c>
      <c r="H187">
        <v>14</v>
      </c>
      <c r="I187">
        <v>87.9</v>
      </c>
      <c r="J187">
        <v>0.53</v>
      </c>
      <c r="K187">
        <v>0</v>
      </c>
      <c r="L187">
        <v>3.2</v>
      </c>
      <c r="M187">
        <v>643428.85</v>
      </c>
      <c r="N187">
        <v>94477.63</v>
      </c>
    </row>
    <row r="188" spans="1:14">
      <c r="A188" t="s">
        <v>70</v>
      </c>
      <c r="B188" s="2">
        <v>45689</v>
      </c>
      <c r="C188" t="s">
        <v>27</v>
      </c>
      <c r="D188" t="s">
        <v>16</v>
      </c>
      <c r="E188">
        <v>51133.43</v>
      </c>
      <c r="F188">
        <v>5150</v>
      </c>
      <c r="G188">
        <v>0.15</v>
      </c>
      <c r="H188">
        <v>12</v>
      </c>
      <c r="I188">
        <v>88.5</v>
      </c>
      <c r="J188">
        <v>1.54</v>
      </c>
      <c r="K188">
        <v>0</v>
      </c>
      <c r="L188">
        <v>3.2</v>
      </c>
      <c r="M188">
        <v>611924.27</v>
      </c>
      <c r="N188">
        <v>115488.75</v>
      </c>
    </row>
    <row r="189" spans="1:14">
      <c r="A189" t="s">
        <v>70</v>
      </c>
      <c r="B189" s="2">
        <v>45717</v>
      </c>
      <c r="C189" t="s">
        <v>27</v>
      </c>
      <c r="D189" t="s">
        <v>16</v>
      </c>
      <c r="E189">
        <v>40220.18</v>
      </c>
      <c r="F189">
        <v>3783</v>
      </c>
      <c r="G189">
        <v>8.8999999999999996E-2</v>
      </c>
      <c r="H189">
        <v>14</v>
      </c>
      <c r="I189">
        <v>86.6</v>
      </c>
      <c r="J189">
        <v>3.63</v>
      </c>
      <c r="K189">
        <v>0</v>
      </c>
      <c r="L189">
        <v>3.7</v>
      </c>
      <c r="M189">
        <v>559422.02</v>
      </c>
      <c r="N189">
        <v>73528.740000000005</v>
      </c>
    </row>
    <row r="190" spans="1:14">
      <c r="A190" t="s">
        <v>71</v>
      </c>
      <c r="B190" s="2">
        <v>45658</v>
      </c>
      <c r="C190" t="s">
        <v>20</v>
      </c>
      <c r="D190" t="s">
        <v>16</v>
      </c>
      <c r="E190">
        <v>71851.45</v>
      </c>
      <c r="F190">
        <v>4970</v>
      </c>
      <c r="G190">
        <v>9.8000000000000004E-2</v>
      </c>
      <c r="H190">
        <v>11</v>
      </c>
      <c r="I190">
        <v>89.6</v>
      </c>
      <c r="J190">
        <v>0.2</v>
      </c>
      <c r="K190">
        <v>0</v>
      </c>
      <c r="L190">
        <v>4.2</v>
      </c>
      <c r="M190">
        <v>691447.43</v>
      </c>
      <c r="N190">
        <v>114077.69</v>
      </c>
    </row>
    <row r="191" spans="1:14">
      <c r="A191" t="s">
        <v>71</v>
      </c>
      <c r="B191" s="2">
        <v>45689</v>
      </c>
      <c r="C191" t="s">
        <v>20</v>
      </c>
      <c r="D191" t="s">
        <v>16</v>
      </c>
      <c r="E191">
        <v>54002.83</v>
      </c>
      <c r="F191">
        <v>4366</v>
      </c>
      <c r="G191">
        <v>2.7E-2</v>
      </c>
      <c r="H191">
        <v>15</v>
      </c>
      <c r="I191">
        <v>90.6</v>
      </c>
      <c r="J191">
        <v>12.82</v>
      </c>
      <c r="K191">
        <v>0</v>
      </c>
      <c r="L191">
        <v>4.5999999999999996</v>
      </c>
      <c r="M191">
        <v>574066.61</v>
      </c>
      <c r="N191">
        <v>124674.67</v>
      </c>
    </row>
    <row r="192" spans="1:14">
      <c r="A192" t="s">
        <v>71</v>
      </c>
      <c r="B192" s="2">
        <v>45717</v>
      </c>
      <c r="C192" t="s">
        <v>20</v>
      </c>
      <c r="D192" t="s">
        <v>16</v>
      </c>
      <c r="E192">
        <v>54479.33</v>
      </c>
      <c r="F192">
        <v>5012</v>
      </c>
      <c r="G192">
        <v>0.28399999999999997</v>
      </c>
      <c r="H192">
        <v>13</v>
      </c>
      <c r="I192">
        <v>86</v>
      </c>
      <c r="J192">
        <v>2.2400000000000002</v>
      </c>
      <c r="K192">
        <v>1</v>
      </c>
      <c r="L192">
        <v>4.3</v>
      </c>
      <c r="M192">
        <v>578949.84</v>
      </c>
      <c r="N192">
        <v>80253.649999999994</v>
      </c>
    </row>
    <row r="193" spans="1:14">
      <c r="A193" t="s">
        <v>71</v>
      </c>
      <c r="B193" s="2">
        <v>45748</v>
      </c>
      <c r="C193" t="s">
        <v>20</v>
      </c>
      <c r="D193" t="s">
        <v>16</v>
      </c>
      <c r="E193">
        <v>61391.8</v>
      </c>
      <c r="F193">
        <v>5575</v>
      </c>
      <c r="G193">
        <v>0.189</v>
      </c>
      <c r="H193">
        <v>18</v>
      </c>
      <c r="I193">
        <v>90</v>
      </c>
      <c r="J193">
        <v>1.8</v>
      </c>
      <c r="K193">
        <v>0</v>
      </c>
      <c r="L193">
        <v>4.8</v>
      </c>
      <c r="M193">
        <v>735786.64</v>
      </c>
      <c r="N193">
        <v>126540.66</v>
      </c>
    </row>
    <row r="194" spans="1:14">
      <c r="A194" t="s">
        <v>72</v>
      </c>
      <c r="B194" s="2">
        <v>45658</v>
      </c>
      <c r="C194" t="s">
        <v>15</v>
      </c>
      <c r="D194" t="s">
        <v>21</v>
      </c>
      <c r="E194">
        <v>22312.93</v>
      </c>
      <c r="F194">
        <v>5955</v>
      </c>
      <c r="G194">
        <v>0.123</v>
      </c>
      <c r="H194">
        <v>13</v>
      </c>
      <c r="I194">
        <v>84.2</v>
      </c>
      <c r="J194">
        <v>0.41</v>
      </c>
      <c r="K194">
        <v>1</v>
      </c>
      <c r="L194">
        <v>4.5999999999999996</v>
      </c>
      <c r="M194">
        <v>598904.9</v>
      </c>
      <c r="N194">
        <v>72861</v>
      </c>
    </row>
    <row r="195" spans="1:14">
      <c r="A195" t="s">
        <v>72</v>
      </c>
      <c r="B195" s="2">
        <v>45689</v>
      </c>
      <c r="C195" t="s">
        <v>15</v>
      </c>
      <c r="D195" t="s">
        <v>21</v>
      </c>
      <c r="E195">
        <v>78111.97</v>
      </c>
      <c r="F195">
        <v>6389</v>
      </c>
      <c r="G195">
        <v>0.15</v>
      </c>
      <c r="H195">
        <v>13</v>
      </c>
      <c r="I195">
        <v>83.9</v>
      </c>
      <c r="J195">
        <v>3.05</v>
      </c>
      <c r="K195">
        <v>0</v>
      </c>
      <c r="L195">
        <v>4.8</v>
      </c>
      <c r="M195">
        <v>787715.51</v>
      </c>
      <c r="N195">
        <v>128969.62</v>
      </c>
    </row>
    <row r="196" spans="1:14">
      <c r="A196" t="s">
        <v>72</v>
      </c>
      <c r="B196" s="2">
        <v>45717</v>
      </c>
      <c r="C196" t="s">
        <v>15</v>
      </c>
      <c r="D196" t="s">
        <v>21</v>
      </c>
      <c r="E196">
        <v>35203.230000000003</v>
      </c>
      <c r="F196">
        <v>6896</v>
      </c>
      <c r="G196">
        <v>3.2000000000000001E-2</v>
      </c>
      <c r="H196">
        <v>14</v>
      </c>
      <c r="I196">
        <v>80.8</v>
      </c>
      <c r="J196">
        <v>8.44</v>
      </c>
      <c r="K196">
        <v>1</v>
      </c>
      <c r="L196">
        <v>5</v>
      </c>
      <c r="M196">
        <v>607084.92000000004</v>
      </c>
      <c r="N196">
        <v>98558.49</v>
      </c>
    </row>
    <row r="197" spans="1:14">
      <c r="A197" t="s">
        <v>72</v>
      </c>
      <c r="B197" s="2">
        <v>45748</v>
      </c>
      <c r="C197" t="s">
        <v>15</v>
      </c>
      <c r="D197" t="s">
        <v>21</v>
      </c>
      <c r="E197">
        <v>64104.28</v>
      </c>
      <c r="F197">
        <v>6015</v>
      </c>
      <c r="G197">
        <v>0.127</v>
      </c>
      <c r="H197">
        <v>15</v>
      </c>
      <c r="I197">
        <v>88.7</v>
      </c>
      <c r="J197">
        <v>0.78</v>
      </c>
      <c r="K197">
        <v>0</v>
      </c>
      <c r="L197">
        <v>4</v>
      </c>
      <c r="M197">
        <v>650795.49</v>
      </c>
      <c r="N197">
        <v>103035.89</v>
      </c>
    </row>
    <row r="198" spans="1:14">
      <c r="A198" t="s">
        <v>73</v>
      </c>
      <c r="B198" s="2">
        <v>45658</v>
      </c>
      <c r="C198" t="s">
        <v>15</v>
      </c>
      <c r="D198" t="s">
        <v>28</v>
      </c>
      <c r="E198">
        <v>92090.14</v>
      </c>
      <c r="F198">
        <v>9476</v>
      </c>
      <c r="G198">
        <v>7.0000000000000007E-2</v>
      </c>
      <c r="H198">
        <v>24</v>
      </c>
      <c r="I198">
        <v>94.3</v>
      </c>
      <c r="J198">
        <v>0.87</v>
      </c>
      <c r="K198">
        <v>0</v>
      </c>
      <c r="L198">
        <v>3.7</v>
      </c>
      <c r="M198">
        <v>825060.52</v>
      </c>
      <c r="N198">
        <v>143613.15</v>
      </c>
    </row>
    <row r="199" spans="1:14">
      <c r="A199" t="s">
        <v>73</v>
      </c>
      <c r="B199" s="2">
        <v>45689</v>
      </c>
      <c r="C199" t="s">
        <v>15</v>
      </c>
      <c r="D199" t="s">
        <v>28</v>
      </c>
      <c r="E199">
        <v>54300.87</v>
      </c>
      <c r="F199">
        <v>7875</v>
      </c>
      <c r="G199">
        <v>0.107</v>
      </c>
      <c r="H199">
        <v>19</v>
      </c>
      <c r="I199">
        <v>94.1</v>
      </c>
      <c r="J199">
        <v>0.95</v>
      </c>
      <c r="K199">
        <v>0</v>
      </c>
      <c r="L199">
        <v>3.7</v>
      </c>
      <c r="M199">
        <v>795464.47</v>
      </c>
      <c r="N199">
        <v>161150.51999999999</v>
      </c>
    </row>
    <row r="200" spans="1:14">
      <c r="A200" t="s">
        <v>73</v>
      </c>
      <c r="B200" s="2">
        <v>45717</v>
      </c>
      <c r="C200" t="s">
        <v>15</v>
      </c>
      <c r="D200" t="s">
        <v>28</v>
      </c>
      <c r="E200">
        <v>37983.35</v>
      </c>
      <c r="F200">
        <v>9283</v>
      </c>
      <c r="G200">
        <v>0.14899999999999999</v>
      </c>
      <c r="H200">
        <v>19</v>
      </c>
      <c r="I200">
        <v>83.2</v>
      </c>
      <c r="J200">
        <v>3.82</v>
      </c>
      <c r="K200">
        <v>0</v>
      </c>
      <c r="L200">
        <v>3.7</v>
      </c>
      <c r="M200">
        <v>671868.59</v>
      </c>
      <c r="N200">
        <v>71003.28</v>
      </c>
    </row>
    <row r="201" spans="1:14">
      <c r="A201" t="s">
        <v>73</v>
      </c>
      <c r="B201" s="2">
        <v>45748</v>
      </c>
      <c r="C201" t="s">
        <v>15</v>
      </c>
      <c r="D201" t="s">
        <v>28</v>
      </c>
      <c r="E201">
        <v>56413.83</v>
      </c>
      <c r="F201">
        <v>8303</v>
      </c>
      <c r="G201">
        <v>0.11600000000000001</v>
      </c>
      <c r="H201">
        <v>18</v>
      </c>
      <c r="I201">
        <v>93.6</v>
      </c>
      <c r="J201">
        <v>2.7</v>
      </c>
      <c r="K201">
        <v>0</v>
      </c>
      <c r="L201">
        <v>3.7</v>
      </c>
      <c r="M201">
        <v>675917.63</v>
      </c>
      <c r="N201">
        <v>112564.75</v>
      </c>
    </row>
    <row r="202" spans="1:14">
      <c r="A202" t="s">
        <v>74</v>
      </c>
      <c r="B202" s="2">
        <v>45658</v>
      </c>
      <c r="C202" t="s">
        <v>15</v>
      </c>
      <c r="D202" t="s">
        <v>18</v>
      </c>
      <c r="E202">
        <v>63457.19</v>
      </c>
      <c r="F202">
        <v>10125</v>
      </c>
      <c r="G202">
        <v>9.7000000000000003E-2</v>
      </c>
      <c r="H202">
        <v>24</v>
      </c>
      <c r="I202">
        <v>87</v>
      </c>
      <c r="J202">
        <v>3.84</v>
      </c>
      <c r="K202">
        <v>1</v>
      </c>
      <c r="L202">
        <v>3.7</v>
      </c>
      <c r="M202">
        <v>810446.53</v>
      </c>
      <c r="N202">
        <v>200575.34</v>
      </c>
    </row>
    <row r="203" spans="1:14">
      <c r="A203" t="s">
        <v>74</v>
      </c>
      <c r="B203" s="2">
        <v>45689</v>
      </c>
      <c r="C203" t="s">
        <v>15</v>
      </c>
      <c r="D203" t="s">
        <v>18</v>
      </c>
      <c r="E203">
        <v>62949.7</v>
      </c>
      <c r="F203">
        <v>9458</v>
      </c>
      <c r="G203">
        <v>0.17100000000000001</v>
      </c>
      <c r="H203">
        <v>19</v>
      </c>
      <c r="I203">
        <v>84.9</v>
      </c>
      <c r="J203">
        <v>5.09</v>
      </c>
      <c r="K203">
        <v>0</v>
      </c>
      <c r="L203">
        <v>3.3</v>
      </c>
      <c r="M203">
        <v>691288.19</v>
      </c>
      <c r="N203">
        <v>159074.14000000001</v>
      </c>
    </row>
    <row r="204" spans="1:14">
      <c r="A204" t="s">
        <v>74</v>
      </c>
      <c r="B204" s="2">
        <v>45717</v>
      </c>
      <c r="C204" t="s">
        <v>15</v>
      </c>
      <c r="D204" t="s">
        <v>18</v>
      </c>
      <c r="E204">
        <v>107970.19</v>
      </c>
      <c r="F204">
        <v>12870</v>
      </c>
      <c r="G204">
        <v>2.9000000000000001E-2</v>
      </c>
      <c r="H204">
        <v>31</v>
      </c>
      <c r="I204">
        <v>91.7</v>
      </c>
      <c r="J204">
        <v>3.82</v>
      </c>
      <c r="K204">
        <v>1</v>
      </c>
      <c r="L204">
        <v>3.7</v>
      </c>
      <c r="M204">
        <v>946833.54</v>
      </c>
      <c r="N204">
        <v>184540.31</v>
      </c>
    </row>
    <row r="205" spans="1:14">
      <c r="A205" t="s">
        <v>74</v>
      </c>
      <c r="B205" s="2">
        <v>45748</v>
      </c>
      <c r="C205" t="s">
        <v>15</v>
      </c>
      <c r="D205" t="s">
        <v>18</v>
      </c>
      <c r="E205">
        <v>49405.75</v>
      </c>
      <c r="F205">
        <v>9752</v>
      </c>
      <c r="G205">
        <v>9.2999999999999999E-2</v>
      </c>
      <c r="H205">
        <v>21</v>
      </c>
      <c r="I205">
        <v>87</v>
      </c>
      <c r="J205">
        <v>12.28</v>
      </c>
      <c r="K205">
        <v>0</v>
      </c>
      <c r="L205">
        <v>4.0999999999999996</v>
      </c>
      <c r="M205">
        <v>761963.23</v>
      </c>
      <c r="N205">
        <v>150113.60999999999</v>
      </c>
    </row>
    <row r="206" spans="1:14">
      <c r="A206" t="s">
        <v>75</v>
      </c>
      <c r="B206" s="2">
        <v>45658</v>
      </c>
      <c r="C206" t="s">
        <v>27</v>
      </c>
      <c r="D206" t="s">
        <v>16</v>
      </c>
      <c r="E206">
        <v>50887.46</v>
      </c>
      <c r="F206">
        <v>9505</v>
      </c>
      <c r="G206">
        <v>9.0999999999999998E-2</v>
      </c>
      <c r="H206">
        <v>25</v>
      </c>
      <c r="I206">
        <v>89.7</v>
      </c>
      <c r="J206">
        <v>2.8</v>
      </c>
      <c r="K206">
        <v>0</v>
      </c>
      <c r="L206">
        <v>4.3</v>
      </c>
      <c r="M206">
        <v>812152.6</v>
      </c>
      <c r="N206">
        <v>138419.43</v>
      </c>
    </row>
    <row r="207" spans="1:14">
      <c r="A207" t="s">
        <v>75</v>
      </c>
      <c r="B207" s="2">
        <v>45689</v>
      </c>
      <c r="C207" t="s">
        <v>27</v>
      </c>
      <c r="D207" t="s">
        <v>16</v>
      </c>
      <c r="E207">
        <v>41819.449999999997</v>
      </c>
      <c r="F207">
        <v>9412</v>
      </c>
      <c r="G207">
        <v>0.15</v>
      </c>
      <c r="H207">
        <v>22</v>
      </c>
      <c r="I207">
        <v>91</v>
      </c>
      <c r="J207">
        <v>3.67</v>
      </c>
      <c r="K207">
        <v>0</v>
      </c>
      <c r="L207">
        <v>4.2</v>
      </c>
      <c r="M207">
        <v>804975.5</v>
      </c>
      <c r="N207">
        <v>140054.5</v>
      </c>
    </row>
    <row r="208" spans="1:14">
      <c r="A208" t="s">
        <v>75</v>
      </c>
      <c r="B208" s="2">
        <v>45717</v>
      </c>
      <c r="C208" t="s">
        <v>27</v>
      </c>
      <c r="D208" t="s">
        <v>16</v>
      </c>
      <c r="E208">
        <v>35296.54</v>
      </c>
      <c r="F208">
        <v>9644</v>
      </c>
      <c r="G208">
        <v>0</v>
      </c>
      <c r="H208">
        <v>22</v>
      </c>
      <c r="I208">
        <v>88</v>
      </c>
      <c r="J208">
        <v>2.81</v>
      </c>
      <c r="K208">
        <v>0</v>
      </c>
      <c r="L208">
        <v>4.7</v>
      </c>
      <c r="M208">
        <v>752321.72</v>
      </c>
      <c r="N208">
        <v>137788.51</v>
      </c>
    </row>
    <row r="209" spans="1:14">
      <c r="A209" t="s">
        <v>75</v>
      </c>
      <c r="B209" s="2">
        <v>45748</v>
      </c>
      <c r="C209" t="s">
        <v>27</v>
      </c>
      <c r="D209" t="s">
        <v>16</v>
      </c>
      <c r="E209">
        <v>47391.09</v>
      </c>
      <c r="F209">
        <v>11224</v>
      </c>
      <c r="G209">
        <v>0.14699999999999999</v>
      </c>
      <c r="H209">
        <v>25</v>
      </c>
      <c r="I209">
        <v>88.4</v>
      </c>
      <c r="J209">
        <v>2.44</v>
      </c>
      <c r="K209">
        <v>0</v>
      </c>
      <c r="L209">
        <v>4.9000000000000004</v>
      </c>
      <c r="M209">
        <v>836908.24</v>
      </c>
      <c r="N209">
        <v>141090.26</v>
      </c>
    </row>
    <row r="210" spans="1:14">
      <c r="A210" t="s">
        <v>76</v>
      </c>
      <c r="B210" s="2">
        <v>45658</v>
      </c>
      <c r="C210" t="s">
        <v>20</v>
      </c>
      <c r="D210" t="s">
        <v>21</v>
      </c>
      <c r="E210">
        <v>69180.539999999994</v>
      </c>
      <c r="F210">
        <v>5394</v>
      </c>
      <c r="G210">
        <v>0.126</v>
      </c>
      <c r="H210">
        <v>12</v>
      </c>
      <c r="I210">
        <v>82.9</v>
      </c>
      <c r="J210">
        <v>3.27</v>
      </c>
      <c r="K210">
        <v>0</v>
      </c>
      <c r="L210">
        <v>3.3</v>
      </c>
      <c r="M210">
        <v>674289.1</v>
      </c>
      <c r="N210">
        <v>117773.79</v>
      </c>
    </row>
    <row r="211" spans="1:14">
      <c r="A211" t="s">
        <v>76</v>
      </c>
      <c r="B211" s="2">
        <v>45689</v>
      </c>
      <c r="C211" t="s">
        <v>20</v>
      </c>
      <c r="D211" t="s">
        <v>21</v>
      </c>
      <c r="E211">
        <v>33987.33</v>
      </c>
      <c r="F211">
        <v>5014</v>
      </c>
      <c r="G211">
        <v>0.246</v>
      </c>
      <c r="H211">
        <v>17</v>
      </c>
      <c r="I211">
        <v>94.3</v>
      </c>
      <c r="J211">
        <v>10.34</v>
      </c>
      <c r="K211">
        <v>0</v>
      </c>
      <c r="L211">
        <v>3.9</v>
      </c>
      <c r="M211">
        <v>622892.42000000004</v>
      </c>
      <c r="N211">
        <v>101032.52</v>
      </c>
    </row>
    <row r="212" spans="1:14">
      <c r="A212" t="s">
        <v>76</v>
      </c>
      <c r="B212" s="2">
        <v>45717</v>
      </c>
      <c r="C212" t="s">
        <v>20</v>
      </c>
      <c r="D212" t="s">
        <v>21</v>
      </c>
      <c r="E212">
        <v>58785.33</v>
      </c>
      <c r="F212">
        <v>4467</v>
      </c>
      <c r="G212">
        <v>0.22900000000000001</v>
      </c>
      <c r="H212">
        <v>14</v>
      </c>
      <c r="I212">
        <v>90.7</v>
      </c>
      <c r="J212">
        <v>1.92</v>
      </c>
      <c r="K212">
        <v>0</v>
      </c>
      <c r="L212">
        <v>3.7</v>
      </c>
      <c r="M212">
        <v>673348.56</v>
      </c>
      <c r="N212">
        <v>69464.59</v>
      </c>
    </row>
    <row r="213" spans="1:14">
      <c r="A213" t="s">
        <v>76</v>
      </c>
      <c r="B213" s="2">
        <v>45748</v>
      </c>
      <c r="C213" t="s">
        <v>20</v>
      </c>
      <c r="D213" t="s">
        <v>21</v>
      </c>
      <c r="E213">
        <v>16451.849999999999</v>
      </c>
      <c r="F213">
        <v>4678</v>
      </c>
      <c r="G213">
        <v>0.13300000000000001</v>
      </c>
      <c r="H213">
        <v>11</v>
      </c>
      <c r="I213">
        <v>95.9</v>
      </c>
      <c r="J213">
        <v>3.1</v>
      </c>
      <c r="K213">
        <v>0</v>
      </c>
      <c r="L213">
        <v>3.9</v>
      </c>
      <c r="M213">
        <v>606278.30000000005</v>
      </c>
      <c r="N213">
        <v>102213.26</v>
      </c>
    </row>
    <row r="214" spans="1:14">
      <c r="A214" t="s">
        <v>77</v>
      </c>
      <c r="B214" s="2">
        <v>45658</v>
      </c>
      <c r="C214" t="s">
        <v>15</v>
      </c>
      <c r="D214" t="s">
        <v>18</v>
      </c>
      <c r="E214">
        <v>53367.73</v>
      </c>
      <c r="F214">
        <v>7291</v>
      </c>
      <c r="G214">
        <v>0.14599999999999999</v>
      </c>
      <c r="H214">
        <v>18</v>
      </c>
      <c r="I214">
        <v>90.6</v>
      </c>
      <c r="J214">
        <v>6.34</v>
      </c>
      <c r="K214">
        <v>1</v>
      </c>
      <c r="L214">
        <v>3.8</v>
      </c>
      <c r="M214">
        <v>712219.81</v>
      </c>
      <c r="N214">
        <v>85906.54</v>
      </c>
    </row>
    <row r="215" spans="1:14">
      <c r="A215" t="s">
        <v>77</v>
      </c>
      <c r="B215" s="2">
        <v>45689</v>
      </c>
      <c r="C215" t="s">
        <v>15</v>
      </c>
      <c r="D215" t="s">
        <v>18</v>
      </c>
      <c r="E215">
        <v>27194.639999999999</v>
      </c>
      <c r="F215">
        <v>7404</v>
      </c>
      <c r="G215">
        <v>8.7999999999999995E-2</v>
      </c>
      <c r="H215">
        <v>18</v>
      </c>
      <c r="I215">
        <v>90.2</v>
      </c>
      <c r="J215">
        <v>1.2</v>
      </c>
      <c r="K215">
        <v>0</v>
      </c>
      <c r="L215">
        <v>3.4</v>
      </c>
      <c r="M215">
        <v>672670.54</v>
      </c>
      <c r="N215">
        <v>132684.18</v>
      </c>
    </row>
    <row r="216" spans="1:14">
      <c r="A216" t="s">
        <v>77</v>
      </c>
      <c r="B216" s="2">
        <v>45717</v>
      </c>
      <c r="C216" t="s">
        <v>15</v>
      </c>
      <c r="D216" t="s">
        <v>18</v>
      </c>
      <c r="E216">
        <v>66962.740000000005</v>
      </c>
      <c r="F216">
        <v>7880</v>
      </c>
      <c r="G216">
        <v>0.11600000000000001</v>
      </c>
      <c r="H216">
        <v>19</v>
      </c>
      <c r="I216">
        <v>90.4</v>
      </c>
      <c r="J216">
        <v>4.5</v>
      </c>
      <c r="K216">
        <v>0</v>
      </c>
      <c r="L216">
        <v>3.3</v>
      </c>
      <c r="M216">
        <v>732667.92</v>
      </c>
      <c r="N216">
        <v>128654.46</v>
      </c>
    </row>
    <row r="217" spans="1:14">
      <c r="A217" t="s">
        <v>77</v>
      </c>
      <c r="B217" s="2">
        <v>45748</v>
      </c>
      <c r="C217" t="s">
        <v>15</v>
      </c>
      <c r="D217" t="s">
        <v>18</v>
      </c>
      <c r="E217">
        <v>73540.990000000005</v>
      </c>
      <c r="F217">
        <v>8773</v>
      </c>
      <c r="G217">
        <v>3.5000000000000003E-2</v>
      </c>
      <c r="H217">
        <v>21</v>
      </c>
      <c r="I217">
        <v>84.4</v>
      </c>
      <c r="J217">
        <v>6.68</v>
      </c>
      <c r="K217">
        <v>0</v>
      </c>
      <c r="L217">
        <v>3.6</v>
      </c>
      <c r="M217">
        <v>723531.4</v>
      </c>
      <c r="N217">
        <v>108794.85</v>
      </c>
    </row>
    <row r="218" spans="1:14">
      <c r="A218" t="s">
        <v>78</v>
      </c>
      <c r="B218" s="2">
        <v>45658</v>
      </c>
      <c r="C218" t="s">
        <v>15</v>
      </c>
      <c r="D218" t="s">
        <v>28</v>
      </c>
      <c r="E218">
        <v>68212.289999999994</v>
      </c>
      <c r="F218">
        <v>4713</v>
      </c>
      <c r="G218">
        <v>0.19800000000000001</v>
      </c>
      <c r="H218">
        <v>15</v>
      </c>
      <c r="I218">
        <v>82.6</v>
      </c>
      <c r="J218">
        <v>4.07</v>
      </c>
      <c r="K218">
        <v>1</v>
      </c>
      <c r="L218">
        <v>3</v>
      </c>
      <c r="M218">
        <v>641564.6</v>
      </c>
      <c r="N218">
        <v>90468.96</v>
      </c>
    </row>
    <row r="219" spans="1:14">
      <c r="A219" t="s">
        <v>78</v>
      </c>
      <c r="B219" s="2">
        <v>45689</v>
      </c>
      <c r="C219" t="s">
        <v>15</v>
      </c>
      <c r="D219" t="s">
        <v>28</v>
      </c>
      <c r="E219">
        <v>57225.98</v>
      </c>
      <c r="F219">
        <v>2842</v>
      </c>
      <c r="G219">
        <v>0.112</v>
      </c>
      <c r="H219">
        <v>10</v>
      </c>
      <c r="I219">
        <v>79.5</v>
      </c>
      <c r="J219">
        <v>5.45</v>
      </c>
      <c r="K219">
        <v>0</v>
      </c>
      <c r="L219">
        <v>3.4</v>
      </c>
      <c r="M219">
        <v>536545.49</v>
      </c>
      <c r="N219">
        <v>97917.45</v>
      </c>
    </row>
    <row r="220" spans="1:14">
      <c r="A220" t="s">
        <v>78</v>
      </c>
      <c r="B220" s="2">
        <v>45717</v>
      </c>
      <c r="C220" t="s">
        <v>15</v>
      </c>
      <c r="D220" t="s">
        <v>28</v>
      </c>
      <c r="E220">
        <v>42932.02</v>
      </c>
      <c r="F220">
        <v>3872</v>
      </c>
      <c r="G220">
        <v>0.17100000000000001</v>
      </c>
      <c r="H220">
        <v>12</v>
      </c>
      <c r="I220">
        <v>83.2</v>
      </c>
      <c r="J220">
        <v>15.58</v>
      </c>
      <c r="K220">
        <v>0</v>
      </c>
      <c r="L220">
        <v>3.3</v>
      </c>
      <c r="M220">
        <v>527681.56000000006</v>
      </c>
      <c r="N220">
        <v>63153.05</v>
      </c>
    </row>
    <row r="221" spans="1:14">
      <c r="A221" t="s">
        <v>79</v>
      </c>
      <c r="B221" s="2">
        <v>45658</v>
      </c>
      <c r="C221" t="s">
        <v>15</v>
      </c>
      <c r="D221" t="s">
        <v>18</v>
      </c>
      <c r="E221">
        <v>37324.230000000003</v>
      </c>
      <c r="F221">
        <v>5957</v>
      </c>
      <c r="G221">
        <v>7.0999999999999994E-2</v>
      </c>
      <c r="H221">
        <v>12</v>
      </c>
      <c r="I221">
        <v>85.9</v>
      </c>
      <c r="J221">
        <v>0.37</v>
      </c>
      <c r="K221">
        <v>0</v>
      </c>
      <c r="L221">
        <v>3.8</v>
      </c>
      <c r="M221">
        <v>570963.31000000006</v>
      </c>
      <c r="N221">
        <v>87342.25</v>
      </c>
    </row>
    <row r="222" spans="1:14">
      <c r="A222" t="s">
        <v>79</v>
      </c>
      <c r="B222" s="2">
        <v>45689</v>
      </c>
      <c r="C222" t="s">
        <v>15</v>
      </c>
      <c r="D222" t="s">
        <v>18</v>
      </c>
      <c r="E222">
        <v>113736</v>
      </c>
      <c r="F222">
        <v>8961</v>
      </c>
      <c r="G222">
        <v>0.20200000000000001</v>
      </c>
      <c r="H222">
        <v>24</v>
      </c>
      <c r="I222">
        <v>86.2</v>
      </c>
      <c r="J222">
        <v>21.63</v>
      </c>
      <c r="K222">
        <v>0</v>
      </c>
      <c r="L222">
        <v>4</v>
      </c>
      <c r="M222">
        <v>870937.4</v>
      </c>
      <c r="N222">
        <v>175282.74</v>
      </c>
    </row>
    <row r="223" spans="1:14">
      <c r="A223" t="s">
        <v>79</v>
      </c>
      <c r="B223" s="2">
        <v>45717</v>
      </c>
      <c r="C223" t="s">
        <v>15</v>
      </c>
      <c r="D223" t="s">
        <v>18</v>
      </c>
      <c r="E223">
        <v>33173.949999999997</v>
      </c>
      <c r="F223">
        <v>6545</v>
      </c>
      <c r="G223">
        <v>0.16900000000000001</v>
      </c>
      <c r="H223">
        <v>15</v>
      </c>
      <c r="I223">
        <v>84.4</v>
      </c>
      <c r="J223">
        <v>2.48</v>
      </c>
      <c r="K223">
        <v>0</v>
      </c>
      <c r="L223">
        <v>3.9</v>
      </c>
      <c r="M223">
        <v>596969.27</v>
      </c>
      <c r="N223">
        <v>105669.51</v>
      </c>
    </row>
    <row r="224" spans="1:14">
      <c r="A224" t="s">
        <v>80</v>
      </c>
      <c r="B224" s="2">
        <v>45658</v>
      </c>
      <c r="C224" t="s">
        <v>27</v>
      </c>
      <c r="D224" t="s">
        <v>16</v>
      </c>
      <c r="E224">
        <v>47241.919999999998</v>
      </c>
      <c r="F224">
        <v>4264</v>
      </c>
      <c r="G224">
        <v>6.9000000000000006E-2</v>
      </c>
      <c r="H224">
        <v>13</v>
      </c>
      <c r="I224">
        <v>95.3</v>
      </c>
      <c r="J224">
        <v>0.85</v>
      </c>
      <c r="K224">
        <v>0</v>
      </c>
      <c r="L224">
        <v>4.3</v>
      </c>
      <c r="M224">
        <v>658072.14</v>
      </c>
      <c r="N224">
        <v>110595.89</v>
      </c>
    </row>
    <row r="225" spans="1:14">
      <c r="A225" t="s">
        <v>80</v>
      </c>
      <c r="B225" s="2">
        <v>45689</v>
      </c>
      <c r="C225" t="s">
        <v>27</v>
      </c>
      <c r="D225" t="s">
        <v>16</v>
      </c>
      <c r="E225">
        <v>61650.79</v>
      </c>
      <c r="F225">
        <v>5321</v>
      </c>
      <c r="G225">
        <v>0.126</v>
      </c>
      <c r="H225">
        <v>17</v>
      </c>
      <c r="I225">
        <v>89.2</v>
      </c>
      <c r="J225">
        <v>2.13</v>
      </c>
      <c r="K225">
        <v>0</v>
      </c>
      <c r="L225">
        <v>4</v>
      </c>
      <c r="M225">
        <v>723305.11</v>
      </c>
      <c r="N225">
        <v>128468.7</v>
      </c>
    </row>
    <row r="226" spans="1:14">
      <c r="A226" t="s">
        <v>80</v>
      </c>
      <c r="B226" s="2">
        <v>45717</v>
      </c>
      <c r="C226" t="s">
        <v>27</v>
      </c>
      <c r="D226" t="s">
        <v>16</v>
      </c>
      <c r="E226">
        <v>62582.71</v>
      </c>
      <c r="F226">
        <v>5479</v>
      </c>
      <c r="G226">
        <v>4.8000000000000001E-2</v>
      </c>
      <c r="H226">
        <v>16</v>
      </c>
      <c r="I226">
        <v>81.2</v>
      </c>
      <c r="J226">
        <v>1.46</v>
      </c>
      <c r="K226">
        <v>0</v>
      </c>
      <c r="L226">
        <v>4.5</v>
      </c>
      <c r="M226">
        <v>640666.53</v>
      </c>
      <c r="N226">
        <v>134919.16</v>
      </c>
    </row>
    <row r="227" spans="1:14">
      <c r="A227" t="s">
        <v>80</v>
      </c>
      <c r="B227" s="2">
        <v>45748</v>
      </c>
      <c r="C227" t="s">
        <v>27</v>
      </c>
      <c r="D227" t="s">
        <v>16</v>
      </c>
      <c r="E227">
        <v>47944.14</v>
      </c>
      <c r="F227">
        <v>6169</v>
      </c>
      <c r="G227">
        <v>0.11899999999999999</v>
      </c>
      <c r="H227">
        <v>17</v>
      </c>
      <c r="I227">
        <v>92.2</v>
      </c>
      <c r="J227">
        <v>3.02</v>
      </c>
      <c r="K227">
        <v>0</v>
      </c>
      <c r="L227">
        <v>4.0999999999999996</v>
      </c>
      <c r="M227">
        <v>670629.48</v>
      </c>
      <c r="N227">
        <v>100140.8</v>
      </c>
    </row>
    <row r="228" spans="1:14">
      <c r="A228" t="s">
        <v>81</v>
      </c>
      <c r="B228" s="2">
        <v>45658</v>
      </c>
      <c r="C228" t="s">
        <v>27</v>
      </c>
      <c r="D228" t="s">
        <v>28</v>
      </c>
      <c r="E228">
        <v>46495.4</v>
      </c>
      <c r="F228">
        <v>9908</v>
      </c>
      <c r="G228">
        <v>0.121</v>
      </c>
      <c r="H228">
        <v>22</v>
      </c>
      <c r="I228">
        <v>89.4</v>
      </c>
      <c r="J228">
        <v>3.22</v>
      </c>
      <c r="K228">
        <v>0</v>
      </c>
      <c r="L228">
        <v>3.7</v>
      </c>
      <c r="M228">
        <v>721079.35</v>
      </c>
      <c r="N228">
        <v>115295.05</v>
      </c>
    </row>
    <row r="229" spans="1:14">
      <c r="A229" t="s">
        <v>81</v>
      </c>
      <c r="B229" s="2">
        <v>45689</v>
      </c>
      <c r="C229" t="s">
        <v>27</v>
      </c>
      <c r="D229" t="s">
        <v>28</v>
      </c>
      <c r="E229">
        <v>72961.95</v>
      </c>
      <c r="F229">
        <v>9996</v>
      </c>
      <c r="G229">
        <v>0.106</v>
      </c>
      <c r="H229">
        <v>22</v>
      </c>
      <c r="I229">
        <v>89.1</v>
      </c>
      <c r="J229">
        <v>15.66</v>
      </c>
      <c r="K229">
        <v>0</v>
      </c>
      <c r="L229">
        <v>3.4</v>
      </c>
      <c r="M229">
        <v>810355.02</v>
      </c>
      <c r="N229">
        <v>131510</v>
      </c>
    </row>
    <row r="230" spans="1:14">
      <c r="A230" t="s">
        <v>81</v>
      </c>
      <c r="B230" s="2">
        <v>45717</v>
      </c>
      <c r="C230" t="s">
        <v>27</v>
      </c>
      <c r="D230" t="s">
        <v>28</v>
      </c>
      <c r="E230">
        <v>59060.05</v>
      </c>
      <c r="F230">
        <v>9702</v>
      </c>
      <c r="G230">
        <v>0.20100000000000001</v>
      </c>
      <c r="H230">
        <v>23</v>
      </c>
      <c r="I230">
        <v>80.900000000000006</v>
      </c>
      <c r="J230">
        <v>6.96</v>
      </c>
      <c r="K230">
        <v>0</v>
      </c>
      <c r="L230">
        <v>3.2</v>
      </c>
      <c r="M230">
        <v>761919.25</v>
      </c>
      <c r="N230">
        <v>111893.06</v>
      </c>
    </row>
    <row r="231" spans="1:14">
      <c r="A231" t="s">
        <v>81</v>
      </c>
      <c r="B231" s="2">
        <v>45748</v>
      </c>
      <c r="C231" t="s">
        <v>27</v>
      </c>
      <c r="D231" t="s">
        <v>28</v>
      </c>
      <c r="E231">
        <v>26248.1</v>
      </c>
      <c r="F231">
        <v>9314</v>
      </c>
      <c r="G231">
        <v>0.186</v>
      </c>
      <c r="H231">
        <v>21</v>
      </c>
      <c r="I231">
        <v>83.7</v>
      </c>
      <c r="J231">
        <v>4.62</v>
      </c>
      <c r="K231">
        <v>0</v>
      </c>
      <c r="L231">
        <v>3.3</v>
      </c>
      <c r="M231">
        <v>737070.18</v>
      </c>
      <c r="N231">
        <v>117593.97</v>
      </c>
    </row>
    <row r="232" spans="1:14">
      <c r="A232" t="s">
        <v>82</v>
      </c>
      <c r="B232" s="2">
        <v>45658</v>
      </c>
      <c r="C232" t="s">
        <v>24</v>
      </c>
      <c r="D232" t="s">
        <v>21</v>
      </c>
      <c r="E232">
        <v>69900.12</v>
      </c>
      <c r="F232">
        <v>8055</v>
      </c>
      <c r="G232">
        <v>0.28100000000000003</v>
      </c>
      <c r="H232">
        <v>22</v>
      </c>
      <c r="I232">
        <v>85.6</v>
      </c>
      <c r="J232">
        <v>10.68</v>
      </c>
      <c r="K232">
        <v>1</v>
      </c>
      <c r="L232">
        <v>2.9</v>
      </c>
      <c r="M232">
        <v>776992.93</v>
      </c>
      <c r="N232">
        <v>101598.32</v>
      </c>
    </row>
    <row r="233" spans="1:14">
      <c r="A233" t="s">
        <v>82</v>
      </c>
      <c r="B233" s="2">
        <v>45689</v>
      </c>
      <c r="C233" t="s">
        <v>24</v>
      </c>
      <c r="D233" t="s">
        <v>21</v>
      </c>
      <c r="E233">
        <v>51781.599999999999</v>
      </c>
      <c r="F233">
        <v>5648</v>
      </c>
      <c r="G233">
        <v>5.8999999999999997E-2</v>
      </c>
      <c r="H233">
        <v>13</v>
      </c>
      <c r="I233">
        <v>85.5</v>
      </c>
      <c r="J233">
        <v>4.04</v>
      </c>
      <c r="K233">
        <v>0</v>
      </c>
      <c r="L233">
        <v>3.7</v>
      </c>
      <c r="M233">
        <v>676337.41</v>
      </c>
      <c r="N233">
        <v>104355.77</v>
      </c>
    </row>
    <row r="234" spans="1:14">
      <c r="A234" t="s">
        <v>82</v>
      </c>
      <c r="B234" s="2">
        <v>45717</v>
      </c>
      <c r="C234" t="s">
        <v>24</v>
      </c>
      <c r="D234" t="s">
        <v>21</v>
      </c>
      <c r="E234">
        <v>70799.64</v>
      </c>
      <c r="F234">
        <v>10076</v>
      </c>
      <c r="G234">
        <v>0.152</v>
      </c>
      <c r="H234">
        <v>24</v>
      </c>
      <c r="I234">
        <v>84.8</v>
      </c>
      <c r="J234">
        <v>1.87</v>
      </c>
      <c r="K234">
        <v>0</v>
      </c>
      <c r="L234">
        <v>3.5</v>
      </c>
      <c r="M234">
        <v>828219.67</v>
      </c>
      <c r="N234">
        <v>179806.87</v>
      </c>
    </row>
    <row r="235" spans="1:14">
      <c r="A235" t="s">
        <v>82</v>
      </c>
      <c r="B235" s="2">
        <v>45748</v>
      </c>
      <c r="C235" t="s">
        <v>24</v>
      </c>
      <c r="D235" t="s">
        <v>21</v>
      </c>
      <c r="E235">
        <v>53546.34</v>
      </c>
      <c r="F235">
        <v>8004</v>
      </c>
      <c r="G235">
        <v>0</v>
      </c>
      <c r="H235">
        <v>21</v>
      </c>
      <c r="I235">
        <v>95.2</v>
      </c>
      <c r="J235">
        <v>2.83</v>
      </c>
      <c r="K235">
        <v>0</v>
      </c>
      <c r="L235">
        <v>3</v>
      </c>
      <c r="M235">
        <v>763159.92</v>
      </c>
      <c r="N235">
        <v>177104.87</v>
      </c>
    </row>
    <row r="236" spans="1:14">
      <c r="A236" t="s">
        <v>83</v>
      </c>
      <c r="B236" s="2">
        <v>45658</v>
      </c>
      <c r="C236" t="s">
        <v>15</v>
      </c>
      <c r="D236" t="s">
        <v>18</v>
      </c>
      <c r="E236">
        <v>76942.2</v>
      </c>
      <c r="F236">
        <v>8934</v>
      </c>
      <c r="G236">
        <v>8.4000000000000005E-2</v>
      </c>
      <c r="H236">
        <v>20</v>
      </c>
      <c r="I236">
        <v>91</v>
      </c>
      <c r="J236">
        <v>0.95</v>
      </c>
      <c r="K236">
        <v>0</v>
      </c>
      <c r="L236">
        <v>3.2</v>
      </c>
      <c r="M236">
        <v>802001.68</v>
      </c>
      <c r="N236">
        <v>159715.82</v>
      </c>
    </row>
    <row r="237" spans="1:14">
      <c r="A237" t="s">
        <v>83</v>
      </c>
      <c r="B237" s="2">
        <v>45689</v>
      </c>
      <c r="C237" t="s">
        <v>15</v>
      </c>
      <c r="D237" t="s">
        <v>18</v>
      </c>
      <c r="E237">
        <v>48060.78</v>
      </c>
      <c r="F237">
        <v>8733</v>
      </c>
      <c r="G237">
        <v>0</v>
      </c>
      <c r="H237">
        <v>20</v>
      </c>
      <c r="I237">
        <v>89.9</v>
      </c>
      <c r="J237">
        <v>0.8</v>
      </c>
      <c r="K237">
        <v>0</v>
      </c>
      <c r="L237">
        <v>3.4</v>
      </c>
      <c r="M237">
        <v>750471.34</v>
      </c>
      <c r="N237">
        <v>133788.04</v>
      </c>
    </row>
    <row r="238" spans="1:14">
      <c r="A238" t="s">
        <v>83</v>
      </c>
      <c r="B238" s="2">
        <v>45717</v>
      </c>
      <c r="C238" t="s">
        <v>15</v>
      </c>
      <c r="D238" t="s">
        <v>18</v>
      </c>
      <c r="E238">
        <v>57390.04</v>
      </c>
      <c r="F238">
        <v>7374</v>
      </c>
      <c r="G238">
        <v>0.21</v>
      </c>
      <c r="H238">
        <v>21</v>
      </c>
      <c r="I238">
        <v>91.8</v>
      </c>
      <c r="J238">
        <v>0.2</v>
      </c>
      <c r="K238">
        <v>0</v>
      </c>
      <c r="L238">
        <v>3.1</v>
      </c>
      <c r="M238">
        <v>679230.86</v>
      </c>
      <c r="N238">
        <v>106927.58</v>
      </c>
    </row>
    <row r="239" spans="1:14">
      <c r="A239" t="s">
        <v>83</v>
      </c>
      <c r="B239" s="2">
        <v>45748</v>
      </c>
      <c r="C239" t="s">
        <v>15</v>
      </c>
      <c r="D239" t="s">
        <v>18</v>
      </c>
      <c r="E239">
        <v>21536.18</v>
      </c>
      <c r="F239">
        <v>8119</v>
      </c>
      <c r="G239">
        <v>0.22700000000000001</v>
      </c>
      <c r="H239">
        <v>20</v>
      </c>
      <c r="I239">
        <v>90.4</v>
      </c>
      <c r="J239">
        <v>1.7</v>
      </c>
      <c r="K239">
        <v>0</v>
      </c>
      <c r="L239">
        <v>3.3</v>
      </c>
      <c r="M239">
        <v>679888.74</v>
      </c>
      <c r="N239">
        <v>83406.89</v>
      </c>
    </row>
    <row r="240" spans="1:14">
      <c r="A240" t="s">
        <v>84</v>
      </c>
      <c r="B240" s="2">
        <v>45689</v>
      </c>
      <c r="C240" t="s">
        <v>20</v>
      </c>
      <c r="D240" t="s">
        <v>18</v>
      </c>
      <c r="E240">
        <v>72932.55</v>
      </c>
      <c r="F240">
        <v>5765</v>
      </c>
      <c r="G240">
        <v>2.5999999999999999E-2</v>
      </c>
      <c r="H240">
        <v>17</v>
      </c>
      <c r="I240">
        <v>81.8</v>
      </c>
      <c r="J240">
        <v>5.0999999999999996</v>
      </c>
      <c r="K240">
        <v>0</v>
      </c>
      <c r="L240">
        <v>3.6</v>
      </c>
      <c r="M240">
        <v>642751.42000000004</v>
      </c>
      <c r="N240">
        <v>131942.15</v>
      </c>
    </row>
    <row r="241" spans="1:14">
      <c r="A241" t="s">
        <v>84</v>
      </c>
      <c r="B241" s="2">
        <v>45717</v>
      </c>
      <c r="C241" t="s">
        <v>20</v>
      </c>
      <c r="D241" t="s">
        <v>18</v>
      </c>
      <c r="E241">
        <v>38361.93</v>
      </c>
      <c r="F241">
        <v>6322</v>
      </c>
      <c r="G241">
        <v>0.27300000000000002</v>
      </c>
      <c r="H241">
        <v>15</v>
      </c>
      <c r="I241">
        <v>88.4</v>
      </c>
      <c r="J241">
        <v>0.83</v>
      </c>
      <c r="K241">
        <v>0</v>
      </c>
      <c r="L241">
        <v>4</v>
      </c>
      <c r="M241">
        <v>647953.78</v>
      </c>
      <c r="N241">
        <v>118497.43</v>
      </c>
    </row>
    <row r="242" spans="1:14">
      <c r="A242" t="s">
        <v>84</v>
      </c>
      <c r="B242" s="2">
        <v>45748</v>
      </c>
      <c r="C242" t="s">
        <v>20</v>
      </c>
      <c r="D242" t="s">
        <v>18</v>
      </c>
      <c r="E242">
        <v>97480.94</v>
      </c>
      <c r="F242">
        <v>6840</v>
      </c>
      <c r="G242">
        <v>8.6999999999999994E-2</v>
      </c>
      <c r="H242">
        <v>14</v>
      </c>
      <c r="I242">
        <v>79.2</v>
      </c>
      <c r="J242">
        <v>1.1399999999999999</v>
      </c>
      <c r="K242">
        <v>0</v>
      </c>
      <c r="L242">
        <v>4</v>
      </c>
      <c r="M242">
        <v>729440.45</v>
      </c>
      <c r="N242">
        <v>87614.29</v>
      </c>
    </row>
    <row r="243" spans="1:14">
      <c r="A243" t="s">
        <v>85</v>
      </c>
      <c r="B243" s="2">
        <v>45658</v>
      </c>
      <c r="C243" t="s">
        <v>24</v>
      </c>
      <c r="D243" t="s">
        <v>21</v>
      </c>
      <c r="E243">
        <v>81801.8</v>
      </c>
      <c r="F243">
        <v>6782</v>
      </c>
      <c r="G243">
        <v>0.05</v>
      </c>
      <c r="H243">
        <v>16</v>
      </c>
      <c r="I243">
        <v>99</v>
      </c>
      <c r="J243">
        <v>9.5399999999999991</v>
      </c>
      <c r="K243">
        <v>0</v>
      </c>
      <c r="L243">
        <v>3.7</v>
      </c>
      <c r="M243">
        <v>764949</v>
      </c>
      <c r="N243">
        <v>148322.43</v>
      </c>
    </row>
    <row r="244" spans="1:14">
      <c r="A244" t="s">
        <v>85</v>
      </c>
      <c r="B244" s="2">
        <v>45689</v>
      </c>
      <c r="C244" t="s">
        <v>24</v>
      </c>
      <c r="D244" t="s">
        <v>21</v>
      </c>
      <c r="E244">
        <v>63582.11</v>
      </c>
      <c r="F244">
        <v>6856</v>
      </c>
      <c r="G244">
        <v>7.3999999999999996E-2</v>
      </c>
      <c r="H244">
        <v>17</v>
      </c>
      <c r="I244">
        <v>89.5</v>
      </c>
      <c r="J244">
        <v>5.48</v>
      </c>
      <c r="K244">
        <v>0</v>
      </c>
      <c r="L244">
        <v>3.2</v>
      </c>
      <c r="M244">
        <v>799046.94</v>
      </c>
      <c r="N244">
        <v>144553.64000000001</v>
      </c>
    </row>
    <row r="245" spans="1:14">
      <c r="A245" t="s">
        <v>85</v>
      </c>
      <c r="B245" s="2">
        <v>45717</v>
      </c>
      <c r="C245" t="s">
        <v>24</v>
      </c>
      <c r="D245" t="s">
        <v>21</v>
      </c>
      <c r="E245">
        <v>75412.740000000005</v>
      </c>
      <c r="F245">
        <v>5641</v>
      </c>
      <c r="G245">
        <v>5.8999999999999997E-2</v>
      </c>
      <c r="H245">
        <v>13</v>
      </c>
      <c r="I245">
        <v>87.9</v>
      </c>
      <c r="J245">
        <v>0.84</v>
      </c>
      <c r="K245">
        <v>0</v>
      </c>
      <c r="L245">
        <v>3.6</v>
      </c>
      <c r="M245">
        <v>720079.54</v>
      </c>
      <c r="N245">
        <v>119499.47</v>
      </c>
    </row>
    <row r="246" spans="1:14">
      <c r="A246" t="s">
        <v>85</v>
      </c>
      <c r="B246" s="2">
        <v>45748</v>
      </c>
      <c r="C246" t="s">
        <v>24</v>
      </c>
      <c r="D246" t="s">
        <v>21</v>
      </c>
      <c r="E246">
        <v>36290.080000000002</v>
      </c>
      <c r="F246">
        <v>5787</v>
      </c>
      <c r="G246">
        <v>0</v>
      </c>
      <c r="H246">
        <v>17</v>
      </c>
      <c r="I246">
        <v>88.3</v>
      </c>
      <c r="J246">
        <v>4.1900000000000004</v>
      </c>
      <c r="K246">
        <v>0</v>
      </c>
      <c r="L246">
        <v>4.0999999999999996</v>
      </c>
      <c r="M246">
        <v>612390.14</v>
      </c>
      <c r="N246">
        <v>108985.74</v>
      </c>
    </row>
    <row r="247" spans="1:14">
      <c r="A247" t="s">
        <v>86</v>
      </c>
      <c r="B247" s="2">
        <v>45658</v>
      </c>
      <c r="C247" t="s">
        <v>24</v>
      </c>
      <c r="D247" t="s">
        <v>28</v>
      </c>
      <c r="E247">
        <v>65272.58</v>
      </c>
      <c r="F247">
        <v>8165</v>
      </c>
      <c r="G247">
        <v>5.0999999999999997E-2</v>
      </c>
      <c r="H247">
        <v>19</v>
      </c>
      <c r="I247">
        <v>87.8</v>
      </c>
      <c r="J247">
        <v>1.26</v>
      </c>
      <c r="K247">
        <v>1</v>
      </c>
      <c r="L247">
        <v>4.3</v>
      </c>
      <c r="M247">
        <v>840108.12</v>
      </c>
      <c r="N247">
        <v>126587.01</v>
      </c>
    </row>
    <row r="248" spans="1:14">
      <c r="A248" t="s">
        <v>86</v>
      </c>
      <c r="B248" s="2">
        <v>45689</v>
      </c>
      <c r="C248" t="s">
        <v>24</v>
      </c>
      <c r="D248" t="s">
        <v>28</v>
      </c>
      <c r="E248">
        <v>28670.43</v>
      </c>
      <c r="F248">
        <v>7574</v>
      </c>
      <c r="G248">
        <v>0.114</v>
      </c>
      <c r="H248">
        <v>19</v>
      </c>
      <c r="I248">
        <v>82.7</v>
      </c>
      <c r="J248">
        <v>2.74</v>
      </c>
      <c r="K248">
        <v>0</v>
      </c>
      <c r="L248">
        <v>4.5999999999999996</v>
      </c>
      <c r="M248">
        <v>697888.09</v>
      </c>
      <c r="N248">
        <v>116249.87</v>
      </c>
    </row>
    <row r="249" spans="1:14">
      <c r="A249" t="s">
        <v>86</v>
      </c>
      <c r="B249" s="2">
        <v>45717</v>
      </c>
      <c r="C249" t="s">
        <v>24</v>
      </c>
      <c r="D249" t="s">
        <v>28</v>
      </c>
      <c r="E249">
        <v>44189.34</v>
      </c>
      <c r="F249">
        <v>8634</v>
      </c>
      <c r="G249">
        <v>0.14299999999999999</v>
      </c>
      <c r="H249">
        <v>19</v>
      </c>
      <c r="I249">
        <v>87.5</v>
      </c>
      <c r="J249">
        <v>3.69</v>
      </c>
      <c r="K249">
        <v>0</v>
      </c>
      <c r="L249">
        <v>4.4000000000000004</v>
      </c>
      <c r="M249">
        <v>746115.59</v>
      </c>
      <c r="N249">
        <v>94662.96</v>
      </c>
    </row>
    <row r="250" spans="1:14">
      <c r="A250" t="s">
        <v>86</v>
      </c>
      <c r="B250" s="2">
        <v>45748</v>
      </c>
      <c r="C250" t="s">
        <v>24</v>
      </c>
      <c r="D250" t="s">
        <v>28</v>
      </c>
      <c r="E250">
        <v>38397.82</v>
      </c>
      <c r="F250">
        <v>7836</v>
      </c>
      <c r="G250">
        <v>7.0000000000000001E-3</v>
      </c>
      <c r="H250">
        <v>21</v>
      </c>
      <c r="I250">
        <v>92.2</v>
      </c>
      <c r="J250">
        <v>1.82</v>
      </c>
      <c r="K250">
        <v>0</v>
      </c>
      <c r="L250">
        <v>3.6</v>
      </c>
      <c r="M250">
        <v>776110.32</v>
      </c>
      <c r="N250">
        <v>139676.21</v>
      </c>
    </row>
    <row r="251" spans="1:14">
      <c r="A251" t="s">
        <v>87</v>
      </c>
      <c r="B251" s="2">
        <v>45658</v>
      </c>
      <c r="C251" t="s">
        <v>27</v>
      </c>
      <c r="D251" t="s">
        <v>18</v>
      </c>
      <c r="E251">
        <v>14519.37</v>
      </c>
      <c r="F251">
        <v>3047</v>
      </c>
      <c r="G251">
        <v>0.13500000000000001</v>
      </c>
      <c r="H251">
        <v>10</v>
      </c>
      <c r="I251">
        <v>90.3</v>
      </c>
      <c r="J251">
        <v>6.62</v>
      </c>
      <c r="K251">
        <v>0</v>
      </c>
      <c r="L251">
        <v>4.2</v>
      </c>
      <c r="M251">
        <v>528852.62</v>
      </c>
      <c r="N251">
        <v>68426.210000000006</v>
      </c>
    </row>
    <row r="252" spans="1:14">
      <c r="A252" t="s">
        <v>87</v>
      </c>
      <c r="B252" s="2">
        <v>45717</v>
      </c>
      <c r="C252" t="s">
        <v>27</v>
      </c>
      <c r="D252" t="s">
        <v>18</v>
      </c>
      <c r="E252">
        <v>51450.55</v>
      </c>
      <c r="F252">
        <v>4902</v>
      </c>
      <c r="G252">
        <v>8.5999999999999993E-2</v>
      </c>
      <c r="H252">
        <v>11</v>
      </c>
      <c r="I252">
        <v>83.7</v>
      </c>
      <c r="J252">
        <v>6.92</v>
      </c>
      <c r="K252">
        <v>1</v>
      </c>
      <c r="L252">
        <v>4.2</v>
      </c>
      <c r="M252">
        <v>677640.65</v>
      </c>
      <c r="N252">
        <v>111610.89</v>
      </c>
    </row>
    <row r="253" spans="1:14">
      <c r="A253" t="s">
        <v>87</v>
      </c>
      <c r="B253" s="2">
        <v>45748</v>
      </c>
      <c r="C253" t="s">
        <v>27</v>
      </c>
      <c r="D253" t="s">
        <v>18</v>
      </c>
      <c r="E253">
        <v>58688.26</v>
      </c>
      <c r="F253">
        <v>4022</v>
      </c>
      <c r="G253">
        <v>0.217</v>
      </c>
      <c r="H253">
        <v>12</v>
      </c>
      <c r="I253">
        <v>93.8</v>
      </c>
      <c r="J253">
        <v>11.78</v>
      </c>
      <c r="K253">
        <v>0</v>
      </c>
      <c r="L253">
        <v>3.7</v>
      </c>
      <c r="M253">
        <v>636613.23</v>
      </c>
      <c r="N253">
        <v>78908.350000000006</v>
      </c>
    </row>
    <row r="254" spans="1:14">
      <c r="A254" t="s">
        <v>88</v>
      </c>
      <c r="B254" s="2">
        <v>45658</v>
      </c>
      <c r="C254" t="s">
        <v>15</v>
      </c>
      <c r="D254" t="s">
        <v>18</v>
      </c>
      <c r="E254">
        <v>58981.91</v>
      </c>
      <c r="F254">
        <v>7324</v>
      </c>
      <c r="G254">
        <v>9.4E-2</v>
      </c>
      <c r="H254">
        <v>15</v>
      </c>
      <c r="I254">
        <v>95.8</v>
      </c>
      <c r="J254">
        <v>0.5</v>
      </c>
      <c r="K254">
        <v>0</v>
      </c>
      <c r="L254">
        <v>3.5</v>
      </c>
      <c r="M254">
        <v>708985.19</v>
      </c>
      <c r="N254">
        <v>125368.16</v>
      </c>
    </row>
    <row r="255" spans="1:14">
      <c r="A255" t="s">
        <v>88</v>
      </c>
      <c r="B255" s="2">
        <v>45689</v>
      </c>
      <c r="C255" t="s">
        <v>15</v>
      </c>
      <c r="D255" t="s">
        <v>18</v>
      </c>
      <c r="E255">
        <v>73454.539999999994</v>
      </c>
      <c r="F255">
        <v>8129</v>
      </c>
      <c r="G255">
        <v>0.21099999999999999</v>
      </c>
      <c r="H255">
        <v>20</v>
      </c>
      <c r="I255">
        <v>85.2</v>
      </c>
      <c r="J255">
        <v>0.88</v>
      </c>
      <c r="K255">
        <v>0</v>
      </c>
      <c r="L255">
        <v>3.7</v>
      </c>
      <c r="M255">
        <v>767792.94</v>
      </c>
      <c r="N255">
        <v>96235.77</v>
      </c>
    </row>
    <row r="256" spans="1:14">
      <c r="A256" t="s">
        <v>88</v>
      </c>
      <c r="B256" s="2">
        <v>45717</v>
      </c>
      <c r="C256" t="s">
        <v>15</v>
      </c>
      <c r="D256" t="s">
        <v>18</v>
      </c>
      <c r="E256">
        <v>56602.39</v>
      </c>
      <c r="F256">
        <v>7969</v>
      </c>
      <c r="G256">
        <v>0.17</v>
      </c>
      <c r="H256">
        <v>21</v>
      </c>
      <c r="I256">
        <v>88.3</v>
      </c>
      <c r="J256">
        <v>2.25</v>
      </c>
      <c r="K256">
        <v>0</v>
      </c>
      <c r="L256">
        <v>3.7</v>
      </c>
      <c r="M256">
        <v>745580.51</v>
      </c>
      <c r="N256">
        <v>116273.68</v>
      </c>
    </row>
    <row r="257" spans="1:14">
      <c r="A257" t="s">
        <v>88</v>
      </c>
      <c r="B257" s="2">
        <v>45748</v>
      </c>
      <c r="C257" t="s">
        <v>15</v>
      </c>
      <c r="D257" t="s">
        <v>18</v>
      </c>
      <c r="E257">
        <v>67722.289999999994</v>
      </c>
      <c r="F257">
        <v>7240</v>
      </c>
      <c r="G257">
        <v>2.5999999999999999E-2</v>
      </c>
      <c r="H257">
        <v>15</v>
      </c>
      <c r="I257">
        <v>92.9</v>
      </c>
      <c r="J257">
        <v>0.28999999999999998</v>
      </c>
      <c r="K257">
        <v>0</v>
      </c>
      <c r="L257">
        <v>3.5</v>
      </c>
      <c r="M257">
        <v>762328.31</v>
      </c>
      <c r="N257">
        <v>159158.19</v>
      </c>
    </row>
    <row r="258" spans="1:14">
      <c r="A258" t="s">
        <v>89</v>
      </c>
      <c r="B258" s="2">
        <v>45658</v>
      </c>
      <c r="C258" t="s">
        <v>15</v>
      </c>
      <c r="D258" t="s">
        <v>28</v>
      </c>
      <c r="E258">
        <v>48752.92</v>
      </c>
      <c r="F258">
        <v>8052</v>
      </c>
      <c r="G258">
        <v>0.106</v>
      </c>
      <c r="H258">
        <v>16</v>
      </c>
      <c r="I258">
        <v>94.9</v>
      </c>
      <c r="J258">
        <v>0.65</v>
      </c>
      <c r="K258">
        <v>0</v>
      </c>
      <c r="L258">
        <v>3.6</v>
      </c>
      <c r="M258">
        <v>660633.99</v>
      </c>
      <c r="N258">
        <v>118768.66</v>
      </c>
    </row>
    <row r="259" spans="1:14">
      <c r="A259" t="s">
        <v>89</v>
      </c>
      <c r="B259" s="2">
        <v>45689</v>
      </c>
      <c r="C259" t="s">
        <v>15</v>
      </c>
      <c r="D259" t="s">
        <v>28</v>
      </c>
      <c r="E259">
        <v>23914.97</v>
      </c>
      <c r="F259">
        <v>8018</v>
      </c>
      <c r="G259">
        <v>0.13900000000000001</v>
      </c>
      <c r="H259">
        <v>20</v>
      </c>
      <c r="I259">
        <v>89</v>
      </c>
      <c r="J259">
        <v>0.2</v>
      </c>
      <c r="K259">
        <v>0</v>
      </c>
      <c r="L259">
        <v>3.5</v>
      </c>
      <c r="M259">
        <v>739374.56</v>
      </c>
      <c r="N259">
        <v>121032.29</v>
      </c>
    </row>
    <row r="260" spans="1:14">
      <c r="A260" t="s">
        <v>89</v>
      </c>
      <c r="B260" s="2">
        <v>45717</v>
      </c>
      <c r="C260" t="s">
        <v>15</v>
      </c>
      <c r="D260" t="s">
        <v>28</v>
      </c>
      <c r="E260">
        <v>61995.3</v>
      </c>
      <c r="F260">
        <v>10192</v>
      </c>
      <c r="G260">
        <v>0.19800000000000001</v>
      </c>
      <c r="H260">
        <v>21</v>
      </c>
      <c r="I260">
        <v>87.6</v>
      </c>
      <c r="J260">
        <v>3.63</v>
      </c>
      <c r="K260">
        <v>1</v>
      </c>
      <c r="L260">
        <v>3.8</v>
      </c>
      <c r="M260">
        <v>799756.46</v>
      </c>
      <c r="N260">
        <v>105052.93</v>
      </c>
    </row>
    <row r="261" spans="1:14">
      <c r="A261" t="s">
        <v>89</v>
      </c>
      <c r="B261" s="2">
        <v>45748</v>
      </c>
      <c r="C261" t="s">
        <v>15</v>
      </c>
      <c r="D261" t="s">
        <v>28</v>
      </c>
      <c r="E261">
        <v>29344.93</v>
      </c>
      <c r="F261">
        <v>7446</v>
      </c>
      <c r="G261">
        <v>0.111</v>
      </c>
      <c r="H261">
        <v>15</v>
      </c>
      <c r="I261">
        <v>86.2</v>
      </c>
      <c r="J261">
        <v>0.2</v>
      </c>
      <c r="K261">
        <v>0</v>
      </c>
      <c r="L261">
        <v>3.2</v>
      </c>
      <c r="M261">
        <v>593343</v>
      </c>
      <c r="N261">
        <v>82832.240000000005</v>
      </c>
    </row>
    <row r="262" spans="1:14">
      <c r="A262" t="s">
        <v>90</v>
      </c>
      <c r="B262" s="2">
        <v>45658</v>
      </c>
      <c r="C262" t="s">
        <v>27</v>
      </c>
      <c r="D262" t="s">
        <v>18</v>
      </c>
      <c r="E262">
        <v>50532.17</v>
      </c>
      <c r="F262">
        <v>5689</v>
      </c>
      <c r="G262">
        <v>5.1999999999999998E-2</v>
      </c>
      <c r="H262">
        <v>17</v>
      </c>
      <c r="I262">
        <v>85.6</v>
      </c>
      <c r="J262">
        <v>6.23</v>
      </c>
      <c r="K262">
        <v>0</v>
      </c>
      <c r="L262">
        <v>3.3</v>
      </c>
      <c r="M262">
        <v>645039.97</v>
      </c>
      <c r="N262">
        <v>83093.33</v>
      </c>
    </row>
    <row r="263" spans="1:14">
      <c r="A263" t="s">
        <v>90</v>
      </c>
      <c r="B263" s="2">
        <v>45689</v>
      </c>
      <c r="C263" t="s">
        <v>27</v>
      </c>
      <c r="D263" t="s">
        <v>18</v>
      </c>
      <c r="E263">
        <v>17562.57</v>
      </c>
      <c r="F263">
        <v>3326</v>
      </c>
      <c r="G263">
        <v>0.153</v>
      </c>
      <c r="H263">
        <v>14</v>
      </c>
      <c r="I263">
        <v>88.1</v>
      </c>
      <c r="J263">
        <v>1.04</v>
      </c>
      <c r="K263">
        <v>0</v>
      </c>
      <c r="L263">
        <v>3.1</v>
      </c>
      <c r="M263">
        <v>561597.32999999996</v>
      </c>
      <c r="N263">
        <v>75072.75</v>
      </c>
    </row>
    <row r="264" spans="1:14">
      <c r="A264" t="s">
        <v>90</v>
      </c>
      <c r="B264" s="2">
        <v>45717</v>
      </c>
      <c r="C264" t="s">
        <v>27</v>
      </c>
      <c r="D264" t="s">
        <v>18</v>
      </c>
      <c r="E264">
        <v>47648.71</v>
      </c>
      <c r="F264">
        <v>5767</v>
      </c>
      <c r="G264">
        <v>0.14099999999999999</v>
      </c>
      <c r="H264">
        <v>17</v>
      </c>
      <c r="I264">
        <v>89.8</v>
      </c>
      <c r="J264">
        <v>1.76</v>
      </c>
      <c r="K264">
        <v>0</v>
      </c>
      <c r="L264">
        <v>3.1</v>
      </c>
      <c r="M264">
        <v>635837.74</v>
      </c>
      <c r="N264">
        <v>114740.64</v>
      </c>
    </row>
    <row r="265" spans="1:14">
      <c r="A265" t="s">
        <v>90</v>
      </c>
      <c r="B265" s="2">
        <v>45748</v>
      </c>
      <c r="C265" t="s">
        <v>27</v>
      </c>
      <c r="D265" t="s">
        <v>18</v>
      </c>
      <c r="E265">
        <v>38297.58</v>
      </c>
      <c r="F265">
        <v>5893</v>
      </c>
      <c r="G265">
        <v>0.247</v>
      </c>
      <c r="H265">
        <v>18</v>
      </c>
      <c r="I265">
        <v>77.599999999999994</v>
      </c>
      <c r="J265">
        <v>2.86</v>
      </c>
      <c r="K265">
        <v>0</v>
      </c>
      <c r="L265">
        <v>3</v>
      </c>
      <c r="M265">
        <v>686737.87</v>
      </c>
      <c r="N265">
        <v>83839.67</v>
      </c>
    </row>
    <row r="266" spans="1:14">
      <c r="A266" t="s">
        <v>91</v>
      </c>
      <c r="B266" s="2">
        <v>45658</v>
      </c>
      <c r="C266" t="s">
        <v>24</v>
      </c>
      <c r="D266" t="s">
        <v>16</v>
      </c>
      <c r="E266">
        <v>61784.11</v>
      </c>
      <c r="F266">
        <v>8564</v>
      </c>
      <c r="G266">
        <v>0.13</v>
      </c>
      <c r="H266">
        <v>17</v>
      </c>
      <c r="I266">
        <v>87.4</v>
      </c>
      <c r="J266">
        <v>18.14</v>
      </c>
      <c r="K266">
        <v>1</v>
      </c>
      <c r="L266">
        <v>3.4</v>
      </c>
      <c r="M266">
        <v>673076.34</v>
      </c>
      <c r="N266">
        <v>93899.76</v>
      </c>
    </row>
    <row r="267" spans="1:14">
      <c r="A267" t="s">
        <v>91</v>
      </c>
      <c r="B267" s="2">
        <v>45689</v>
      </c>
      <c r="C267" t="s">
        <v>24</v>
      </c>
      <c r="D267" t="s">
        <v>16</v>
      </c>
      <c r="E267">
        <v>36832.33</v>
      </c>
      <c r="F267">
        <v>8001</v>
      </c>
      <c r="G267">
        <v>0</v>
      </c>
      <c r="H267">
        <v>19</v>
      </c>
      <c r="I267">
        <v>88.7</v>
      </c>
      <c r="J267">
        <v>3.39</v>
      </c>
      <c r="K267">
        <v>0</v>
      </c>
      <c r="L267">
        <v>4</v>
      </c>
      <c r="M267">
        <v>738548.42</v>
      </c>
      <c r="N267">
        <v>134282.76999999999</v>
      </c>
    </row>
    <row r="268" spans="1:14">
      <c r="A268" t="s">
        <v>91</v>
      </c>
      <c r="B268" s="2">
        <v>45717</v>
      </c>
      <c r="C268" t="s">
        <v>24</v>
      </c>
      <c r="D268" t="s">
        <v>16</v>
      </c>
      <c r="E268">
        <v>48609.41</v>
      </c>
      <c r="F268">
        <v>9324</v>
      </c>
      <c r="G268">
        <v>0.21299999999999999</v>
      </c>
      <c r="H268">
        <v>18</v>
      </c>
      <c r="I268">
        <v>86.5</v>
      </c>
      <c r="J268">
        <v>1.44</v>
      </c>
      <c r="K268">
        <v>0</v>
      </c>
      <c r="L268">
        <v>3.9</v>
      </c>
      <c r="M268">
        <v>756619.77</v>
      </c>
      <c r="N268">
        <v>112057.69</v>
      </c>
    </row>
    <row r="269" spans="1:14">
      <c r="A269" t="s">
        <v>91</v>
      </c>
      <c r="B269" s="2">
        <v>45748</v>
      </c>
      <c r="C269" t="s">
        <v>24</v>
      </c>
      <c r="D269" t="s">
        <v>16</v>
      </c>
      <c r="E269">
        <v>70284.06</v>
      </c>
      <c r="F269">
        <v>9109</v>
      </c>
      <c r="G269">
        <v>4.0000000000000001E-3</v>
      </c>
      <c r="H269">
        <v>23</v>
      </c>
      <c r="I269">
        <v>87</v>
      </c>
      <c r="J269">
        <v>3.65</v>
      </c>
      <c r="K269">
        <v>0</v>
      </c>
      <c r="L269">
        <v>3.7</v>
      </c>
      <c r="M269">
        <v>761122.42</v>
      </c>
      <c r="N269">
        <v>149802.04</v>
      </c>
    </row>
    <row r="270" spans="1:14">
      <c r="A270" t="s">
        <v>92</v>
      </c>
      <c r="B270" s="2">
        <v>45658</v>
      </c>
      <c r="C270" t="s">
        <v>24</v>
      </c>
      <c r="D270" t="s">
        <v>18</v>
      </c>
      <c r="E270">
        <v>45940.39</v>
      </c>
      <c r="F270">
        <v>4022</v>
      </c>
      <c r="G270">
        <v>6.9000000000000006E-2</v>
      </c>
      <c r="H270">
        <v>10</v>
      </c>
      <c r="I270">
        <v>83</v>
      </c>
      <c r="J270">
        <v>1.23</v>
      </c>
      <c r="K270">
        <v>1</v>
      </c>
      <c r="L270">
        <v>3.8</v>
      </c>
      <c r="M270">
        <v>524899.56999999995</v>
      </c>
      <c r="N270">
        <v>63619.98</v>
      </c>
    </row>
    <row r="271" spans="1:14">
      <c r="A271" t="s">
        <v>92</v>
      </c>
      <c r="B271" s="2">
        <v>45689</v>
      </c>
      <c r="C271" t="s">
        <v>24</v>
      </c>
      <c r="D271" t="s">
        <v>18</v>
      </c>
      <c r="E271">
        <v>34771.26</v>
      </c>
      <c r="F271">
        <v>4355</v>
      </c>
      <c r="G271">
        <v>5.0999999999999997E-2</v>
      </c>
      <c r="H271">
        <v>15</v>
      </c>
      <c r="I271">
        <v>87.9</v>
      </c>
      <c r="J271">
        <v>3.09</v>
      </c>
      <c r="K271">
        <v>0</v>
      </c>
      <c r="L271">
        <v>4</v>
      </c>
      <c r="M271">
        <v>555557.77</v>
      </c>
      <c r="N271">
        <v>86475.51</v>
      </c>
    </row>
    <row r="272" spans="1:14">
      <c r="A272" t="s">
        <v>92</v>
      </c>
      <c r="B272" s="2">
        <v>45717</v>
      </c>
      <c r="C272" t="s">
        <v>24</v>
      </c>
      <c r="D272" t="s">
        <v>18</v>
      </c>
      <c r="E272">
        <v>66104.19</v>
      </c>
      <c r="F272">
        <v>5745</v>
      </c>
      <c r="G272">
        <v>7.0000000000000007E-2</v>
      </c>
      <c r="H272">
        <v>17</v>
      </c>
      <c r="I272">
        <v>95.8</v>
      </c>
      <c r="J272">
        <v>3.15</v>
      </c>
      <c r="K272">
        <v>0</v>
      </c>
      <c r="L272">
        <v>4</v>
      </c>
      <c r="M272">
        <v>714083.68</v>
      </c>
      <c r="N272">
        <v>127231.74</v>
      </c>
    </row>
    <row r="273" spans="1:14">
      <c r="A273" t="s">
        <v>92</v>
      </c>
      <c r="B273" s="2">
        <v>45748</v>
      </c>
      <c r="C273" t="s">
        <v>24</v>
      </c>
      <c r="D273" t="s">
        <v>18</v>
      </c>
      <c r="E273">
        <v>18599.21</v>
      </c>
      <c r="F273">
        <v>3027</v>
      </c>
      <c r="G273">
        <v>0.122</v>
      </c>
      <c r="H273">
        <v>11</v>
      </c>
      <c r="I273">
        <v>80.900000000000006</v>
      </c>
      <c r="J273">
        <v>6.44</v>
      </c>
      <c r="K273">
        <v>0</v>
      </c>
      <c r="L273">
        <v>4.2</v>
      </c>
      <c r="M273">
        <v>497439.82</v>
      </c>
      <c r="N273">
        <v>93372.75</v>
      </c>
    </row>
    <row r="274" spans="1:14">
      <c r="A274" t="s">
        <v>93</v>
      </c>
      <c r="B274" s="2">
        <v>45658</v>
      </c>
      <c r="C274" t="s">
        <v>27</v>
      </c>
      <c r="D274" t="s">
        <v>16</v>
      </c>
      <c r="E274">
        <v>60183.06</v>
      </c>
      <c r="F274">
        <v>5562</v>
      </c>
      <c r="G274">
        <v>8.9999999999999993E-3</v>
      </c>
      <c r="H274">
        <v>13</v>
      </c>
      <c r="I274">
        <v>86.3</v>
      </c>
      <c r="J274">
        <v>0.2</v>
      </c>
      <c r="K274">
        <v>1</v>
      </c>
      <c r="L274">
        <v>4.5</v>
      </c>
      <c r="M274">
        <v>636775.66</v>
      </c>
      <c r="N274">
        <v>122636.86</v>
      </c>
    </row>
    <row r="275" spans="1:14">
      <c r="A275" t="s">
        <v>93</v>
      </c>
      <c r="B275" s="2">
        <v>45689</v>
      </c>
      <c r="C275" t="s">
        <v>27</v>
      </c>
      <c r="D275" t="s">
        <v>16</v>
      </c>
      <c r="E275">
        <v>74539.14</v>
      </c>
      <c r="F275">
        <v>4487</v>
      </c>
      <c r="G275">
        <v>0.14000000000000001</v>
      </c>
      <c r="H275">
        <v>10</v>
      </c>
      <c r="I275">
        <v>90.4</v>
      </c>
      <c r="J275">
        <v>0.59</v>
      </c>
      <c r="K275">
        <v>0</v>
      </c>
      <c r="L275">
        <v>4.5</v>
      </c>
      <c r="M275">
        <v>633009.53</v>
      </c>
      <c r="N275">
        <v>123782.67</v>
      </c>
    </row>
    <row r="276" spans="1:14">
      <c r="A276" t="s">
        <v>93</v>
      </c>
      <c r="B276" s="2">
        <v>45717</v>
      </c>
      <c r="C276" t="s">
        <v>27</v>
      </c>
      <c r="D276" t="s">
        <v>16</v>
      </c>
      <c r="E276">
        <v>55371.97</v>
      </c>
      <c r="F276">
        <v>4162</v>
      </c>
      <c r="G276">
        <v>0.183</v>
      </c>
      <c r="H276">
        <v>11</v>
      </c>
      <c r="I276">
        <v>92</v>
      </c>
      <c r="J276">
        <v>0.2</v>
      </c>
      <c r="K276">
        <v>1</v>
      </c>
      <c r="L276">
        <v>4.2</v>
      </c>
      <c r="M276">
        <v>609949</v>
      </c>
      <c r="N276">
        <v>126789.25</v>
      </c>
    </row>
    <row r="277" spans="1:14">
      <c r="A277" t="s">
        <v>93</v>
      </c>
      <c r="B277" s="2">
        <v>45748</v>
      </c>
      <c r="C277" t="s">
        <v>27</v>
      </c>
      <c r="D277" t="s">
        <v>16</v>
      </c>
      <c r="E277">
        <v>40928.69</v>
      </c>
      <c r="F277">
        <v>4094</v>
      </c>
      <c r="G277">
        <v>0.17399999999999999</v>
      </c>
      <c r="H277">
        <v>13</v>
      </c>
      <c r="I277">
        <v>82.4</v>
      </c>
      <c r="J277">
        <v>1.36</v>
      </c>
      <c r="K277">
        <v>0</v>
      </c>
      <c r="L277">
        <v>4.8</v>
      </c>
      <c r="M277">
        <v>548103.69999999995</v>
      </c>
      <c r="N277">
        <v>99905.52</v>
      </c>
    </row>
    <row r="278" spans="1:14">
      <c r="A278" t="s">
        <v>94</v>
      </c>
      <c r="B278" s="2">
        <v>45658</v>
      </c>
      <c r="C278" t="s">
        <v>15</v>
      </c>
      <c r="D278" t="s">
        <v>16</v>
      </c>
      <c r="E278">
        <v>70012.41</v>
      </c>
      <c r="F278">
        <v>8484</v>
      </c>
      <c r="G278">
        <v>0.27300000000000002</v>
      </c>
      <c r="H278">
        <v>23</v>
      </c>
      <c r="I278">
        <v>72.900000000000006</v>
      </c>
      <c r="J278">
        <v>3.34</v>
      </c>
      <c r="K278">
        <v>0</v>
      </c>
      <c r="L278">
        <v>3.7</v>
      </c>
      <c r="M278">
        <v>729424.42</v>
      </c>
      <c r="N278">
        <v>75592.28</v>
      </c>
    </row>
    <row r="279" spans="1:14">
      <c r="A279" t="s">
        <v>94</v>
      </c>
      <c r="B279" s="2">
        <v>45689</v>
      </c>
      <c r="C279" t="s">
        <v>15</v>
      </c>
      <c r="D279" t="s">
        <v>16</v>
      </c>
      <c r="E279">
        <v>68909.259999999995</v>
      </c>
      <c r="F279">
        <v>7794</v>
      </c>
      <c r="G279">
        <v>0.28399999999999997</v>
      </c>
      <c r="H279">
        <v>22</v>
      </c>
      <c r="I279">
        <v>89</v>
      </c>
      <c r="J279">
        <v>0.33</v>
      </c>
      <c r="K279">
        <v>0</v>
      </c>
      <c r="L279">
        <v>4</v>
      </c>
      <c r="M279">
        <v>696261.49</v>
      </c>
      <c r="N279">
        <v>72455.350000000006</v>
      </c>
    </row>
    <row r="280" spans="1:14">
      <c r="A280" t="s">
        <v>94</v>
      </c>
      <c r="B280" s="2">
        <v>45717</v>
      </c>
      <c r="C280" t="s">
        <v>15</v>
      </c>
      <c r="D280" t="s">
        <v>16</v>
      </c>
      <c r="E280">
        <v>56737.3</v>
      </c>
      <c r="F280">
        <v>8300</v>
      </c>
      <c r="G280">
        <v>3.2000000000000001E-2</v>
      </c>
      <c r="H280">
        <v>21</v>
      </c>
      <c r="I280">
        <v>83.2</v>
      </c>
      <c r="J280">
        <v>3.44</v>
      </c>
      <c r="K280">
        <v>1</v>
      </c>
      <c r="L280">
        <v>4.3</v>
      </c>
      <c r="M280">
        <v>813316.71</v>
      </c>
      <c r="N280">
        <v>110077.42</v>
      </c>
    </row>
    <row r="281" spans="1:14">
      <c r="A281" t="s">
        <v>94</v>
      </c>
      <c r="B281" s="2">
        <v>45748</v>
      </c>
      <c r="C281" t="s">
        <v>15</v>
      </c>
      <c r="D281" t="s">
        <v>16</v>
      </c>
      <c r="E281">
        <v>54080.91</v>
      </c>
      <c r="F281">
        <v>7083</v>
      </c>
      <c r="G281">
        <v>0</v>
      </c>
      <c r="H281">
        <v>15</v>
      </c>
      <c r="I281">
        <v>97</v>
      </c>
      <c r="J281">
        <v>5.33</v>
      </c>
      <c r="K281">
        <v>0</v>
      </c>
      <c r="L281">
        <v>4.0999999999999996</v>
      </c>
      <c r="M281">
        <v>702068.92</v>
      </c>
      <c r="N281">
        <v>111266.63</v>
      </c>
    </row>
    <row r="282" spans="1:14">
      <c r="A282" t="s">
        <v>95</v>
      </c>
      <c r="B282" s="2">
        <v>45658</v>
      </c>
      <c r="C282" t="s">
        <v>27</v>
      </c>
      <c r="D282" t="s">
        <v>18</v>
      </c>
      <c r="E282">
        <v>51996.32</v>
      </c>
      <c r="F282">
        <v>3834</v>
      </c>
      <c r="G282">
        <v>9.6000000000000002E-2</v>
      </c>
      <c r="H282">
        <v>8</v>
      </c>
      <c r="I282">
        <v>86.7</v>
      </c>
      <c r="J282">
        <v>6.04</v>
      </c>
      <c r="K282">
        <v>0</v>
      </c>
      <c r="L282">
        <v>4.5</v>
      </c>
      <c r="M282">
        <v>546223.69999999995</v>
      </c>
      <c r="N282">
        <v>100769.17</v>
      </c>
    </row>
    <row r="283" spans="1:14">
      <c r="A283" t="s">
        <v>95</v>
      </c>
      <c r="B283" s="2">
        <v>45689</v>
      </c>
      <c r="C283" t="s">
        <v>27</v>
      </c>
      <c r="D283" t="s">
        <v>18</v>
      </c>
      <c r="E283">
        <v>40102.879999999997</v>
      </c>
      <c r="F283">
        <v>2358</v>
      </c>
      <c r="G283">
        <v>0.11899999999999999</v>
      </c>
      <c r="H283">
        <v>9</v>
      </c>
      <c r="I283">
        <v>88.7</v>
      </c>
      <c r="J283">
        <v>1.6</v>
      </c>
      <c r="K283">
        <v>0</v>
      </c>
      <c r="L283">
        <v>4.2</v>
      </c>
      <c r="M283">
        <v>533121.26</v>
      </c>
      <c r="N283">
        <v>55063.39</v>
      </c>
    </row>
    <row r="284" spans="1:14">
      <c r="A284" t="s">
        <v>95</v>
      </c>
      <c r="B284" s="2">
        <v>45717</v>
      </c>
      <c r="C284" t="s">
        <v>27</v>
      </c>
      <c r="D284" t="s">
        <v>18</v>
      </c>
      <c r="E284">
        <v>59825.51</v>
      </c>
      <c r="F284">
        <v>1231</v>
      </c>
      <c r="G284">
        <v>0.214</v>
      </c>
      <c r="H284">
        <v>10</v>
      </c>
      <c r="I284">
        <v>84.8</v>
      </c>
      <c r="J284">
        <v>8.9600000000000009</v>
      </c>
      <c r="K284">
        <v>0</v>
      </c>
      <c r="L284">
        <v>4.7</v>
      </c>
      <c r="M284">
        <v>498970.32</v>
      </c>
      <c r="N284">
        <v>69656.7</v>
      </c>
    </row>
    <row r="285" spans="1:14">
      <c r="A285" t="s">
        <v>95</v>
      </c>
      <c r="B285" s="2">
        <v>45748</v>
      </c>
      <c r="C285" t="s">
        <v>27</v>
      </c>
      <c r="D285" t="s">
        <v>18</v>
      </c>
      <c r="E285">
        <v>27398.28</v>
      </c>
      <c r="F285">
        <v>1723</v>
      </c>
      <c r="G285">
        <v>0.17100000000000001</v>
      </c>
      <c r="H285">
        <v>9</v>
      </c>
      <c r="I285">
        <v>81</v>
      </c>
      <c r="J285">
        <v>0.74</v>
      </c>
      <c r="K285">
        <v>0</v>
      </c>
      <c r="L285">
        <v>4.5999999999999996</v>
      </c>
      <c r="M285">
        <v>487738.26</v>
      </c>
      <c r="N285">
        <v>96435.6</v>
      </c>
    </row>
    <row r="286" spans="1:14">
      <c r="A286" t="s">
        <v>96</v>
      </c>
      <c r="B286" s="2">
        <v>45658</v>
      </c>
      <c r="C286" t="s">
        <v>27</v>
      </c>
      <c r="D286" t="s">
        <v>18</v>
      </c>
      <c r="E286">
        <v>55599.56</v>
      </c>
      <c r="F286">
        <v>5896</v>
      </c>
      <c r="G286">
        <v>3.5999999999999997E-2</v>
      </c>
      <c r="H286">
        <v>12</v>
      </c>
      <c r="I286">
        <v>93.1</v>
      </c>
      <c r="J286">
        <v>6.13</v>
      </c>
      <c r="K286">
        <v>0</v>
      </c>
      <c r="L286">
        <v>3.3</v>
      </c>
      <c r="M286">
        <v>668459.37</v>
      </c>
      <c r="N286">
        <v>126435.42</v>
      </c>
    </row>
    <row r="287" spans="1:14">
      <c r="A287" t="s">
        <v>96</v>
      </c>
      <c r="B287" s="2">
        <v>45689</v>
      </c>
      <c r="C287" t="s">
        <v>27</v>
      </c>
      <c r="D287" t="s">
        <v>18</v>
      </c>
      <c r="E287">
        <v>55477.61</v>
      </c>
      <c r="F287">
        <v>5903</v>
      </c>
      <c r="G287">
        <v>0.10199999999999999</v>
      </c>
      <c r="H287">
        <v>14</v>
      </c>
      <c r="I287">
        <v>96.2</v>
      </c>
      <c r="J287">
        <v>1.41</v>
      </c>
      <c r="K287">
        <v>0</v>
      </c>
      <c r="L287">
        <v>3.3</v>
      </c>
      <c r="M287">
        <v>763162.45</v>
      </c>
      <c r="N287">
        <v>162524.04999999999</v>
      </c>
    </row>
    <row r="288" spans="1:14">
      <c r="A288" t="s">
        <v>96</v>
      </c>
      <c r="B288" s="2">
        <v>45717</v>
      </c>
      <c r="C288" t="s">
        <v>27</v>
      </c>
      <c r="D288" t="s">
        <v>18</v>
      </c>
      <c r="E288">
        <v>46174.7</v>
      </c>
      <c r="F288">
        <v>4898</v>
      </c>
      <c r="G288">
        <v>0.114</v>
      </c>
      <c r="H288">
        <v>11</v>
      </c>
      <c r="I288">
        <v>91.7</v>
      </c>
      <c r="J288">
        <v>3.75</v>
      </c>
      <c r="K288">
        <v>0</v>
      </c>
      <c r="L288">
        <v>3.1</v>
      </c>
      <c r="M288">
        <v>599017.32999999996</v>
      </c>
      <c r="N288">
        <v>134009.92000000001</v>
      </c>
    </row>
    <row r="289" spans="1:14">
      <c r="A289" t="s">
        <v>96</v>
      </c>
      <c r="B289" s="2">
        <v>45748</v>
      </c>
      <c r="C289" t="s">
        <v>27</v>
      </c>
      <c r="D289" t="s">
        <v>18</v>
      </c>
      <c r="E289">
        <v>24362.98</v>
      </c>
      <c r="F289">
        <v>1462</v>
      </c>
      <c r="G289">
        <v>0.11700000000000001</v>
      </c>
      <c r="H289">
        <v>6</v>
      </c>
      <c r="I289">
        <v>89.3</v>
      </c>
      <c r="J289">
        <v>15.06</v>
      </c>
      <c r="K289">
        <v>0</v>
      </c>
      <c r="L289">
        <v>3.2</v>
      </c>
      <c r="M289">
        <v>401582.58</v>
      </c>
      <c r="N289">
        <v>68454.929999999993</v>
      </c>
    </row>
    <row r="290" spans="1:14">
      <c r="A290" t="s">
        <v>97</v>
      </c>
      <c r="B290" s="2">
        <v>45658</v>
      </c>
      <c r="C290" t="s">
        <v>20</v>
      </c>
      <c r="D290" t="s">
        <v>28</v>
      </c>
      <c r="E290">
        <v>40647.67</v>
      </c>
      <c r="F290">
        <v>8252</v>
      </c>
      <c r="G290">
        <v>0.14099999999999999</v>
      </c>
      <c r="H290">
        <v>22</v>
      </c>
      <c r="I290">
        <v>88.2</v>
      </c>
      <c r="J290">
        <v>5.07</v>
      </c>
      <c r="K290">
        <v>1</v>
      </c>
      <c r="L290">
        <v>4.0999999999999996</v>
      </c>
      <c r="M290">
        <v>703812.99</v>
      </c>
      <c r="N290">
        <v>133577.98000000001</v>
      </c>
    </row>
    <row r="291" spans="1:14">
      <c r="A291" t="s">
        <v>97</v>
      </c>
      <c r="B291" s="2">
        <v>45689</v>
      </c>
      <c r="C291" t="s">
        <v>20</v>
      </c>
      <c r="D291" t="s">
        <v>28</v>
      </c>
      <c r="E291">
        <v>63986.98</v>
      </c>
      <c r="F291">
        <v>7989</v>
      </c>
      <c r="G291">
        <v>7.3999999999999996E-2</v>
      </c>
      <c r="H291">
        <v>20</v>
      </c>
      <c r="I291">
        <v>83.3</v>
      </c>
      <c r="J291">
        <v>3.6</v>
      </c>
      <c r="K291">
        <v>0</v>
      </c>
      <c r="L291">
        <v>3.7</v>
      </c>
      <c r="M291">
        <v>724346.73</v>
      </c>
      <c r="N291">
        <v>155013.91</v>
      </c>
    </row>
    <row r="292" spans="1:14">
      <c r="A292" t="s">
        <v>97</v>
      </c>
      <c r="B292" s="2">
        <v>45717</v>
      </c>
      <c r="C292" t="s">
        <v>20</v>
      </c>
      <c r="D292" t="s">
        <v>28</v>
      </c>
      <c r="E292">
        <v>52843.75</v>
      </c>
      <c r="F292">
        <v>8268</v>
      </c>
      <c r="G292">
        <v>0.13800000000000001</v>
      </c>
      <c r="H292">
        <v>19</v>
      </c>
      <c r="I292">
        <v>87.3</v>
      </c>
      <c r="J292">
        <v>4.3899999999999997</v>
      </c>
      <c r="K292">
        <v>1</v>
      </c>
      <c r="L292">
        <v>4.7</v>
      </c>
      <c r="M292">
        <v>730890.01</v>
      </c>
      <c r="N292">
        <v>105502.56</v>
      </c>
    </row>
    <row r="293" spans="1:14">
      <c r="A293" t="s">
        <v>97</v>
      </c>
      <c r="B293" s="2">
        <v>45748</v>
      </c>
      <c r="C293" t="s">
        <v>20</v>
      </c>
      <c r="D293" t="s">
        <v>28</v>
      </c>
      <c r="E293">
        <v>31997.25</v>
      </c>
      <c r="F293">
        <v>8183</v>
      </c>
      <c r="G293">
        <v>0.19800000000000001</v>
      </c>
      <c r="H293">
        <v>18</v>
      </c>
      <c r="I293">
        <v>93</v>
      </c>
      <c r="J293">
        <v>2.79</v>
      </c>
      <c r="K293">
        <v>0</v>
      </c>
      <c r="L293">
        <v>4.2</v>
      </c>
      <c r="M293">
        <v>780580.95</v>
      </c>
      <c r="N293">
        <v>138144.46</v>
      </c>
    </row>
    <row r="294" spans="1:14">
      <c r="A294" t="s">
        <v>98</v>
      </c>
      <c r="B294" s="2">
        <v>45658</v>
      </c>
      <c r="C294" t="s">
        <v>24</v>
      </c>
      <c r="D294" t="s">
        <v>16</v>
      </c>
      <c r="E294">
        <v>54948.02</v>
      </c>
      <c r="F294">
        <v>6534</v>
      </c>
      <c r="G294">
        <v>0.183</v>
      </c>
      <c r="H294">
        <v>14</v>
      </c>
      <c r="I294">
        <v>94.5</v>
      </c>
      <c r="J294">
        <v>1.56</v>
      </c>
      <c r="K294">
        <v>0</v>
      </c>
      <c r="L294">
        <v>4</v>
      </c>
      <c r="M294">
        <v>727957.48</v>
      </c>
      <c r="N294">
        <v>74805.23</v>
      </c>
    </row>
    <row r="295" spans="1:14">
      <c r="A295" t="s">
        <v>98</v>
      </c>
      <c r="B295" s="2">
        <v>45689</v>
      </c>
      <c r="C295" t="s">
        <v>24</v>
      </c>
      <c r="D295" t="s">
        <v>16</v>
      </c>
      <c r="E295">
        <v>46146.239999999998</v>
      </c>
      <c r="F295">
        <v>5804</v>
      </c>
      <c r="G295">
        <v>4.7E-2</v>
      </c>
      <c r="H295">
        <v>16</v>
      </c>
      <c r="I295">
        <v>86.9</v>
      </c>
      <c r="J295">
        <v>15.82</v>
      </c>
      <c r="K295">
        <v>0</v>
      </c>
      <c r="L295">
        <v>3.8</v>
      </c>
      <c r="M295">
        <v>538376</v>
      </c>
      <c r="N295">
        <v>87605.62</v>
      </c>
    </row>
    <row r="296" spans="1:14">
      <c r="A296" t="s">
        <v>98</v>
      </c>
      <c r="B296" s="2">
        <v>45717</v>
      </c>
      <c r="C296" t="s">
        <v>24</v>
      </c>
      <c r="D296" t="s">
        <v>16</v>
      </c>
      <c r="E296">
        <v>22387.26</v>
      </c>
      <c r="F296">
        <v>6301</v>
      </c>
      <c r="G296">
        <v>0.14599999999999999</v>
      </c>
      <c r="H296">
        <v>14</v>
      </c>
      <c r="I296">
        <v>85.9</v>
      </c>
      <c r="J296">
        <v>1.17</v>
      </c>
      <c r="K296">
        <v>1</v>
      </c>
      <c r="L296">
        <v>3.7</v>
      </c>
      <c r="M296">
        <v>665342.49</v>
      </c>
      <c r="N296">
        <v>93441.81</v>
      </c>
    </row>
    <row r="297" spans="1:14">
      <c r="A297" t="s">
        <v>98</v>
      </c>
      <c r="B297" s="2">
        <v>45748</v>
      </c>
      <c r="C297" t="s">
        <v>24</v>
      </c>
      <c r="D297" t="s">
        <v>16</v>
      </c>
      <c r="E297">
        <v>60684.05</v>
      </c>
      <c r="F297">
        <v>6399</v>
      </c>
      <c r="G297">
        <v>7.4999999999999997E-2</v>
      </c>
      <c r="H297">
        <v>16</v>
      </c>
      <c r="I297">
        <v>99</v>
      </c>
      <c r="J297">
        <v>3.82</v>
      </c>
      <c r="K297">
        <v>0</v>
      </c>
      <c r="L297">
        <v>3.5</v>
      </c>
      <c r="M297">
        <v>651164.18000000005</v>
      </c>
      <c r="N297">
        <v>109466.5</v>
      </c>
    </row>
    <row r="298" spans="1:14">
      <c r="A298" t="s">
        <v>99</v>
      </c>
      <c r="B298" s="2">
        <v>45658</v>
      </c>
      <c r="C298" t="s">
        <v>24</v>
      </c>
      <c r="D298" t="s">
        <v>18</v>
      </c>
      <c r="E298">
        <v>48465.599999999999</v>
      </c>
      <c r="F298">
        <v>5759</v>
      </c>
      <c r="G298">
        <v>0.154</v>
      </c>
      <c r="H298">
        <v>13</v>
      </c>
      <c r="I298">
        <v>87.5</v>
      </c>
      <c r="J298">
        <v>4.1399999999999997</v>
      </c>
      <c r="K298">
        <v>0</v>
      </c>
      <c r="L298">
        <v>4</v>
      </c>
      <c r="M298">
        <v>628538.30000000005</v>
      </c>
      <c r="N298">
        <v>112509.15</v>
      </c>
    </row>
    <row r="299" spans="1:14">
      <c r="A299" t="s">
        <v>99</v>
      </c>
      <c r="B299" s="2">
        <v>45689</v>
      </c>
      <c r="C299" t="s">
        <v>24</v>
      </c>
      <c r="D299" t="s">
        <v>18</v>
      </c>
      <c r="E299">
        <v>23702.38</v>
      </c>
      <c r="F299">
        <v>5285</v>
      </c>
      <c r="G299">
        <v>0.16700000000000001</v>
      </c>
      <c r="H299">
        <v>14</v>
      </c>
      <c r="I299">
        <v>79.7</v>
      </c>
      <c r="J299">
        <v>1.1000000000000001</v>
      </c>
      <c r="K299">
        <v>0</v>
      </c>
      <c r="L299">
        <v>4.3</v>
      </c>
      <c r="M299">
        <v>536524.84</v>
      </c>
      <c r="N299">
        <v>92752.94</v>
      </c>
    </row>
    <row r="300" spans="1:14">
      <c r="A300" t="s">
        <v>99</v>
      </c>
      <c r="B300" s="2">
        <v>45717</v>
      </c>
      <c r="C300" t="s">
        <v>24</v>
      </c>
      <c r="D300" t="s">
        <v>18</v>
      </c>
      <c r="E300">
        <v>54322.94</v>
      </c>
      <c r="F300">
        <v>5434</v>
      </c>
      <c r="G300">
        <v>0.2</v>
      </c>
      <c r="H300">
        <v>13</v>
      </c>
      <c r="I300">
        <v>85.7</v>
      </c>
      <c r="J300">
        <v>10.6</v>
      </c>
      <c r="K300">
        <v>0</v>
      </c>
      <c r="L300">
        <v>4.2</v>
      </c>
      <c r="M300">
        <v>621677.30000000005</v>
      </c>
      <c r="N300">
        <v>105192.52</v>
      </c>
    </row>
    <row r="301" spans="1:14">
      <c r="A301" t="s">
        <v>100</v>
      </c>
      <c r="B301" s="2">
        <v>45658</v>
      </c>
      <c r="C301" t="s">
        <v>20</v>
      </c>
      <c r="D301" t="s">
        <v>16</v>
      </c>
      <c r="E301">
        <v>78967.520000000004</v>
      </c>
      <c r="F301">
        <v>6164</v>
      </c>
      <c r="G301">
        <v>2.1000000000000001E-2</v>
      </c>
      <c r="H301">
        <v>16</v>
      </c>
      <c r="I301">
        <v>85.5</v>
      </c>
      <c r="J301">
        <v>0.2</v>
      </c>
      <c r="K301">
        <v>0</v>
      </c>
      <c r="L301">
        <v>3.4</v>
      </c>
      <c r="M301">
        <v>702052.47</v>
      </c>
      <c r="N301">
        <v>121732.51</v>
      </c>
    </row>
    <row r="302" spans="1:14">
      <c r="A302" t="s">
        <v>100</v>
      </c>
      <c r="B302" s="2">
        <v>45717</v>
      </c>
      <c r="C302" t="s">
        <v>20</v>
      </c>
      <c r="D302" t="s">
        <v>16</v>
      </c>
      <c r="E302">
        <v>62507.16</v>
      </c>
      <c r="F302">
        <v>6000</v>
      </c>
      <c r="G302">
        <v>9.0999999999999998E-2</v>
      </c>
      <c r="H302">
        <v>14</v>
      </c>
      <c r="I302">
        <v>98.2</v>
      </c>
      <c r="J302">
        <v>4.38</v>
      </c>
      <c r="K302">
        <v>1</v>
      </c>
      <c r="L302">
        <v>3.9</v>
      </c>
      <c r="M302">
        <v>712375.77</v>
      </c>
      <c r="N302">
        <v>104171.53</v>
      </c>
    </row>
    <row r="303" spans="1:14">
      <c r="A303" t="s">
        <v>100</v>
      </c>
      <c r="B303" s="2">
        <v>45748</v>
      </c>
      <c r="C303" t="s">
        <v>20</v>
      </c>
      <c r="D303" t="s">
        <v>16</v>
      </c>
      <c r="E303">
        <v>66456.28</v>
      </c>
      <c r="F303">
        <v>9967</v>
      </c>
      <c r="G303">
        <v>0.108</v>
      </c>
      <c r="H303">
        <v>20</v>
      </c>
      <c r="I303">
        <v>94.7</v>
      </c>
      <c r="J303">
        <v>4.4800000000000004</v>
      </c>
      <c r="K303">
        <v>0</v>
      </c>
      <c r="L303">
        <v>4.2</v>
      </c>
      <c r="M303">
        <v>844710.67</v>
      </c>
      <c r="N303">
        <v>137140.18</v>
      </c>
    </row>
    <row r="304" spans="1:14">
      <c r="A304" t="s">
        <v>101</v>
      </c>
      <c r="B304" s="2">
        <v>45658</v>
      </c>
      <c r="C304" t="s">
        <v>15</v>
      </c>
      <c r="D304" t="s">
        <v>16</v>
      </c>
      <c r="E304">
        <v>76614.320000000007</v>
      </c>
      <c r="F304">
        <v>5639</v>
      </c>
      <c r="G304">
        <v>0.17399999999999999</v>
      </c>
      <c r="H304">
        <v>15</v>
      </c>
      <c r="I304">
        <v>92.9</v>
      </c>
      <c r="J304">
        <v>1.02</v>
      </c>
      <c r="K304">
        <v>1</v>
      </c>
      <c r="L304">
        <v>4</v>
      </c>
      <c r="M304">
        <v>620264.19999999995</v>
      </c>
      <c r="N304">
        <v>91365.64</v>
      </c>
    </row>
    <row r="305" spans="1:14">
      <c r="A305" t="s">
        <v>101</v>
      </c>
      <c r="B305" s="2">
        <v>45689</v>
      </c>
      <c r="C305" t="s">
        <v>15</v>
      </c>
      <c r="D305" t="s">
        <v>16</v>
      </c>
      <c r="E305">
        <v>24088.06</v>
      </c>
      <c r="F305">
        <v>3466</v>
      </c>
      <c r="G305">
        <v>0</v>
      </c>
      <c r="H305">
        <v>11</v>
      </c>
      <c r="I305">
        <v>88</v>
      </c>
      <c r="J305">
        <v>0.2</v>
      </c>
      <c r="K305">
        <v>0</v>
      </c>
      <c r="L305">
        <v>3.8</v>
      </c>
      <c r="M305">
        <v>536845.42000000004</v>
      </c>
      <c r="N305">
        <v>107473.75</v>
      </c>
    </row>
    <row r="306" spans="1:14">
      <c r="A306" t="s">
        <v>101</v>
      </c>
      <c r="B306" s="2">
        <v>45717</v>
      </c>
      <c r="C306" t="s">
        <v>15</v>
      </c>
      <c r="D306" t="s">
        <v>16</v>
      </c>
      <c r="E306">
        <v>81902.58</v>
      </c>
      <c r="F306">
        <v>7775</v>
      </c>
      <c r="G306">
        <v>0.215</v>
      </c>
      <c r="H306">
        <v>20</v>
      </c>
      <c r="I306">
        <v>85.2</v>
      </c>
      <c r="J306">
        <v>4.8899999999999997</v>
      </c>
      <c r="K306">
        <v>1</v>
      </c>
      <c r="L306">
        <v>4.2</v>
      </c>
      <c r="M306">
        <v>726776.22</v>
      </c>
      <c r="N306">
        <v>90804.49</v>
      </c>
    </row>
    <row r="307" spans="1:14">
      <c r="A307" t="s">
        <v>101</v>
      </c>
      <c r="B307" s="2">
        <v>45748</v>
      </c>
      <c r="C307" t="s">
        <v>15</v>
      </c>
      <c r="D307" t="s">
        <v>16</v>
      </c>
      <c r="E307">
        <v>40553.11</v>
      </c>
      <c r="F307">
        <v>5317</v>
      </c>
      <c r="G307">
        <v>0.16500000000000001</v>
      </c>
      <c r="H307">
        <v>17</v>
      </c>
      <c r="I307">
        <v>84.3</v>
      </c>
      <c r="J307">
        <v>11.82</v>
      </c>
      <c r="K307">
        <v>0</v>
      </c>
      <c r="L307">
        <v>4.0999999999999996</v>
      </c>
      <c r="M307">
        <v>559660.84</v>
      </c>
      <c r="N307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518E-A869-49BC-884E-A8C3CF92FB8F}">
  <dimension ref="A1:Q307"/>
  <sheetViews>
    <sheetView workbookViewId="0"/>
  </sheetViews>
  <sheetFormatPr defaultRowHeight="15"/>
  <cols>
    <col min="1" max="1" width="9.28515625" bestFit="1" customWidth="1"/>
    <col min="4" max="4" width="11.7109375" bestFit="1" customWidth="1"/>
    <col min="8" max="8" width="10" customWidth="1"/>
    <col min="9" max="9" width="10.5703125" customWidth="1"/>
    <col min="10" max="10" width="9.7109375" customWidth="1"/>
    <col min="16" max="16" width="15.42578125" bestFit="1" customWidth="1"/>
    <col min="17" max="17" width="15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102</v>
      </c>
      <c r="I1" s="1" t="s">
        <v>131</v>
      </c>
      <c r="J1" s="1" t="s">
        <v>132</v>
      </c>
      <c r="K1" s="1" t="s">
        <v>7</v>
      </c>
      <c r="L1" s="1" t="s">
        <v>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75</v>
      </c>
      <c r="H2">
        <f>IF($D2="Mall", 1, 0)</f>
        <v>0</v>
      </c>
      <c r="I2">
        <f>IF($D2="High Street", 1, 0)</f>
        <v>0</v>
      </c>
      <c r="J2">
        <f>IF($D2="Residential", 1, 0)</f>
        <v>1</v>
      </c>
      <c r="K2">
        <v>17</v>
      </c>
      <c r="L2">
        <v>4.2000000000000003E-2</v>
      </c>
      <c r="M2">
        <v>5.28</v>
      </c>
      <c r="N2">
        <v>1</v>
      </c>
      <c r="O2">
        <v>3.1</v>
      </c>
      <c r="P2">
        <v>658832.62</v>
      </c>
      <c r="Q2">
        <v>84349.93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84.4</v>
      </c>
      <c r="H3">
        <f t="shared" ref="H3:H66" si="0">IF($D3="Mall", 1, 0)</f>
        <v>0</v>
      </c>
      <c r="I3">
        <f t="shared" ref="I3:I66" si="1">IF($D3="High Street", 1, 0)</f>
        <v>0</v>
      </c>
      <c r="J3">
        <f t="shared" ref="J3:J66" si="2">IF($D3="Residential", 1, 0)</f>
        <v>1</v>
      </c>
      <c r="K3">
        <v>23</v>
      </c>
      <c r="L3">
        <v>0.16800000000000001</v>
      </c>
      <c r="M3">
        <v>4.3099999999999996</v>
      </c>
      <c r="N3">
        <v>0</v>
      </c>
      <c r="O3">
        <v>2.8</v>
      </c>
      <c r="P3">
        <v>634436</v>
      </c>
      <c r="Q3">
        <v>106130.54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88</v>
      </c>
      <c r="H4">
        <f t="shared" si="0"/>
        <v>0</v>
      </c>
      <c r="I4">
        <f t="shared" si="1"/>
        <v>0</v>
      </c>
      <c r="J4">
        <f t="shared" si="2"/>
        <v>1</v>
      </c>
      <c r="K4">
        <v>20</v>
      </c>
      <c r="L4">
        <v>0.13300000000000001</v>
      </c>
      <c r="M4">
        <v>12</v>
      </c>
      <c r="N4">
        <v>0</v>
      </c>
      <c r="O4">
        <v>3.2</v>
      </c>
      <c r="P4">
        <v>678722.06</v>
      </c>
      <c r="Q4">
        <v>101883.86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86.9</v>
      </c>
      <c r="H5">
        <f t="shared" si="0"/>
        <v>0</v>
      </c>
      <c r="I5">
        <f t="shared" si="1"/>
        <v>0</v>
      </c>
      <c r="J5">
        <f t="shared" si="2"/>
        <v>1</v>
      </c>
      <c r="K5">
        <v>23</v>
      </c>
      <c r="L5">
        <v>0.14199999999999999</v>
      </c>
      <c r="M5">
        <v>4.97</v>
      </c>
      <c r="N5">
        <v>0</v>
      </c>
      <c r="O5">
        <v>3.4</v>
      </c>
      <c r="P5">
        <v>658920.30000000005</v>
      </c>
      <c r="Q5">
        <v>97910.37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97.6</v>
      </c>
      <c r="H6">
        <f t="shared" si="0"/>
        <v>0</v>
      </c>
      <c r="I6">
        <f t="shared" si="1"/>
        <v>1</v>
      </c>
      <c r="J6">
        <f t="shared" si="2"/>
        <v>0</v>
      </c>
      <c r="K6">
        <v>21</v>
      </c>
      <c r="L6">
        <v>0.23100000000000001</v>
      </c>
      <c r="M6">
        <v>6.94</v>
      </c>
      <c r="N6">
        <v>1</v>
      </c>
      <c r="O6">
        <v>4.2</v>
      </c>
      <c r="P6">
        <v>741341.44</v>
      </c>
      <c r="Q6">
        <v>119208.17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84.2</v>
      </c>
      <c r="H7">
        <f t="shared" si="0"/>
        <v>0</v>
      </c>
      <c r="I7">
        <f t="shared" si="1"/>
        <v>1</v>
      </c>
      <c r="J7">
        <f t="shared" si="2"/>
        <v>0</v>
      </c>
      <c r="K7">
        <v>20</v>
      </c>
      <c r="L7">
        <v>0.112</v>
      </c>
      <c r="M7">
        <v>2.88</v>
      </c>
      <c r="N7">
        <v>0</v>
      </c>
      <c r="O7">
        <v>4.2</v>
      </c>
      <c r="P7">
        <v>761835.34</v>
      </c>
      <c r="Q7">
        <v>149602.23000000001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85.2</v>
      </c>
      <c r="H8">
        <f t="shared" si="0"/>
        <v>0</v>
      </c>
      <c r="I8">
        <f t="shared" si="1"/>
        <v>1</v>
      </c>
      <c r="J8">
        <f t="shared" si="2"/>
        <v>0</v>
      </c>
      <c r="K8">
        <v>22</v>
      </c>
      <c r="L8">
        <v>0.122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95.6</v>
      </c>
      <c r="H9">
        <f t="shared" si="0"/>
        <v>0</v>
      </c>
      <c r="I9">
        <f t="shared" si="1"/>
        <v>1</v>
      </c>
      <c r="J9">
        <f t="shared" si="2"/>
        <v>0</v>
      </c>
      <c r="K9">
        <v>23</v>
      </c>
      <c r="L9">
        <v>0.127</v>
      </c>
      <c r="M9">
        <v>0.8</v>
      </c>
      <c r="N9">
        <v>0</v>
      </c>
      <c r="O9">
        <v>3.9</v>
      </c>
      <c r="P9">
        <v>850164.26</v>
      </c>
      <c r="Q9">
        <v>149262.75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88.6</v>
      </c>
      <c r="H10">
        <f t="shared" si="0"/>
        <v>0</v>
      </c>
      <c r="I10">
        <f t="shared" si="1"/>
        <v>0</v>
      </c>
      <c r="J10">
        <f t="shared" si="2"/>
        <v>0</v>
      </c>
      <c r="K10">
        <v>26</v>
      </c>
      <c r="L10">
        <v>0.215</v>
      </c>
      <c r="M10">
        <v>7.7</v>
      </c>
      <c r="N10">
        <v>1</v>
      </c>
      <c r="O10">
        <v>3.8</v>
      </c>
      <c r="P10">
        <v>930581.7</v>
      </c>
      <c r="Q10">
        <v>136207.98000000001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85</v>
      </c>
      <c r="H11">
        <f t="shared" si="0"/>
        <v>0</v>
      </c>
      <c r="I11">
        <f t="shared" si="1"/>
        <v>0</v>
      </c>
      <c r="J11">
        <f t="shared" si="2"/>
        <v>0</v>
      </c>
      <c r="K11">
        <v>21</v>
      </c>
      <c r="L11">
        <v>0.22</v>
      </c>
      <c r="M11">
        <v>1.91</v>
      </c>
      <c r="N11">
        <v>0</v>
      </c>
      <c r="O11">
        <v>4.2</v>
      </c>
      <c r="P11">
        <v>779010.94</v>
      </c>
      <c r="Q11">
        <v>106328.09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88.3</v>
      </c>
      <c r="H12">
        <f t="shared" si="0"/>
        <v>0</v>
      </c>
      <c r="I12">
        <f t="shared" si="1"/>
        <v>0</v>
      </c>
      <c r="J12">
        <f t="shared" si="2"/>
        <v>0</v>
      </c>
      <c r="K12">
        <v>22</v>
      </c>
      <c r="L12">
        <v>0.21299999999999999</v>
      </c>
      <c r="M12">
        <v>10.46</v>
      </c>
      <c r="N12">
        <v>1</v>
      </c>
      <c r="O12">
        <v>3.8</v>
      </c>
      <c r="P12">
        <v>723060.76</v>
      </c>
      <c r="Q12">
        <v>123131.24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85.3</v>
      </c>
      <c r="H13">
        <f t="shared" si="0"/>
        <v>0</v>
      </c>
      <c r="I13">
        <f t="shared" si="1"/>
        <v>0</v>
      </c>
      <c r="J13">
        <f t="shared" si="2"/>
        <v>0</v>
      </c>
      <c r="K13">
        <v>28</v>
      </c>
      <c r="L13">
        <v>2E-3</v>
      </c>
      <c r="M13">
        <v>7.16</v>
      </c>
      <c r="N13">
        <v>0</v>
      </c>
      <c r="O13">
        <v>3.8</v>
      </c>
      <c r="P13">
        <v>910791.94</v>
      </c>
      <c r="Q13">
        <v>158891.28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81.7</v>
      </c>
      <c r="H14">
        <f t="shared" si="0"/>
        <v>0</v>
      </c>
      <c r="I14">
        <f t="shared" si="1"/>
        <v>0</v>
      </c>
      <c r="J14">
        <f t="shared" si="2"/>
        <v>1</v>
      </c>
      <c r="K14">
        <v>30</v>
      </c>
      <c r="L14">
        <v>0.11600000000000001</v>
      </c>
      <c r="M14">
        <v>4.24</v>
      </c>
      <c r="N14">
        <v>1</v>
      </c>
      <c r="O14">
        <v>4.2</v>
      </c>
      <c r="P14">
        <v>922168.6</v>
      </c>
      <c r="Q14">
        <v>107494.53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84.9</v>
      </c>
      <c r="H15">
        <f t="shared" si="0"/>
        <v>0</v>
      </c>
      <c r="I15">
        <f t="shared" si="1"/>
        <v>0</v>
      </c>
      <c r="J15">
        <f t="shared" si="2"/>
        <v>1</v>
      </c>
      <c r="K15">
        <v>24</v>
      </c>
      <c r="L15">
        <v>0.14599999999999999</v>
      </c>
      <c r="M15">
        <v>1.06</v>
      </c>
      <c r="N15">
        <v>0</v>
      </c>
      <c r="O15">
        <v>4.3</v>
      </c>
      <c r="P15">
        <v>726606.28</v>
      </c>
      <c r="Q15">
        <v>122729.29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88.8</v>
      </c>
      <c r="H16">
        <f t="shared" si="0"/>
        <v>0</v>
      </c>
      <c r="I16">
        <f t="shared" si="1"/>
        <v>0</v>
      </c>
      <c r="J16">
        <f t="shared" si="2"/>
        <v>1</v>
      </c>
      <c r="K16">
        <v>23</v>
      </c>
      <c r="L16">
        <v>0.22800000000000001</v>
      </c>
      <c r="M16">
        <v>0.27</v>
      </c>
      <c r="N16">
        <v>0</v>
      </c>
      <c r="O16">
        <v>4.3</v>
      </c>
      <c r="P16">
        <v>746501.09</v>
      </c>
      <c r="Q16">
        <v>136816.72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76.5</v>
      </c>
      <c r="H17">
        <f t="shared" si="0"/>
        <v>0</v>
      </c>
      <c r="I17">
        <f t="shared" si="1"/>
        <v>0</v>
      </c>
      <c r="J17">
        <f t="shared" si="2"/>
        <v>1</v>
      </c>
      <c r="K17">
        <v>26</v>
      </c>
      <c r="L17">
        <v>6.0000000000000001E-3</v>
      </c>
      <c r="M17">
        <v>1.32</v>
      </c>
      <c r="N17">
        <v>0</v>
      </c>
      <c r="O17">
        <v>4.5</v>
      </c>
      <c r="P17">
        <v>834017.02</v>
      </c>
      <c r="Q17">
        <v>114745.03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87.7</v>
      </c>
      <c r="H18">
        <f t="shared" si="0"/>
        <v>0</v>
      </c>
      <c r="I18">
        <f t="shared" si="1"/>
        <v>0</v>
      </c>
      <c r="J18">
        <f t="shared" si="2"/>
        <v>1</v>
      </c>
      <c r="K18">
        <v>15</v>
      </c>
      <c r="L18">
        <v>5.0000000000000001E-3</v>
      </c>
      <c r="M18">
        <v>1.22</v>
      </c>
      <c r="N18">
        <v>0</v>
      </c>
      <c r="O18">
        <v>3.7</v>
      </c>
      <c r="P18">
        <v>666152.52</v>
      </c>
      <c r="Q18">
        <v>107490.58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87.6</v>
      </c>
      <c r="H19">
        <f t="shared" si="0"/>
        <v>0</v>
      </c>
      <c r="I19">
        <f t="shared" si="1"/>
        <v>0</v>
      </c>
      <c r="J19">
        <f t="shared" si="2"/>
        <v>1</v>
      </c>
      <c r="K19">
        <v>9</v>
      </c>
      <c r="L19">
        <v>0.11899999999999999</v>
      </c>
      <c r="M19">
        <v>4.01</v>
      </c>
      <c r="N19">
        <v>0</v>
      </c>
      <c r="O19">
        <v>3.6</v>
      </c>
      <c r="P19">
        <v>573155.18999999994</v>
      </c>
      <c r="Q19">
        <v>83680.75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94.1</v>
      </c>
      <c r="H20">
        <f t="shared" si="0"/>
        <v>0</v>
      </c>
      <c r="I20">
        <f t="shared" si="1"/>
        <v>0</v>
      </c>
      <c r="J20">
        <f t="shared" si="2"/>
        <v>1</v>
      </c>
      <c r="K20">
        <v>15</v>
      </c>
      <c r="L20">
        <v>0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88.3</v>
      </c>
      <c r="H21">
        <f t="shared" si="0"/>
        <v>0</v>
      </c>
      <c r="I21">
        <f t="shared" si="1"/>
        <v>0</v>
      </c>
      <c r="J21">
        <f t="shared" si="2"/>
        <v>1</v>
      </c>
      <c r="K21">
        <v>16</v>
      </c>
      <c r="L21">
        <v>0.158</v>
      </c>
      <c r="M21">
        <v>0.5</v>
      </c>
      <c r="N21">
        <v>0</v>
      </c>
      <c r="O21">
        <v>4</v>
      </c>
      <c r="P21">
        <v>591619.94999999995</v>
      </c>
      <c r="Q21">
        <v>99521.35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84.8</v>
      </c>
      <c r="H22">
        <f t="shared" si="0"/>
        <v>0</v>
      </c>
      <c r="I22">
        <f t="shared" si="1"/>
        <v>0</v>
      </c>
      <c r="J22">
        <f t="shared" si="2"/>
        <v>1</v>
      </c>
      <c r="K22">
        <v>9</v>
      </c>
      <c r="L22">
        <v>0.23100000000000001</v>
      </c>
      <c r="M22">
        <v>6.95</v>
      </c>
      <c r="N22">
        <v>0</v>
      </c>
      <c r="O22">
        <v>5</v>
      </c>
      <c r="P22">
        <v>415721.82</v>
      </c>
      <c r="Q22">
        <v>61179.15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88.5</v>
      </c>
      <c r="H23">
        <f t="shared" si="0"/>
        <v>0</v>
      </c>
      <c r="I23">
        <f t="shared" si="1"/>
        <v>0</v>
      </c>
      <c r="J23">
        <f t="shared" si="2"/>
        <v>1</v>
      </c>
      <c r="K23">
        <v>8</v>
      </c>
      <c r="L23">
        <v>0.17599999999999999</v>
      </c>
      <c r="M23">
        <v>0.2</v>
      </c>
      <c r="N23">
        <v>0</v>
      </c>
      <c r="O23">
        <v>5</v>
      </c>
      <c r="P23">
        <v>491905.13</v>
      </c>
      <c r="Q23">
        <v>79212.259999999995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82</v>
      </c>
      <c r="H24">
        <f t="shared" si="0"/>
        <v>0</v>
      </c>
      <c r="I24">
        <f t="shared" si="1"/>
        <v>0</v>
      </c>
      <c r="J24">
        <f t="shared" si="2"/>
        <v>1</v>
      </c>
      <c r="K24">
        <v>13</v>
      </c>
      <c r="L24">
        <v>0.16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92.1</v>
      </c>
      <c r="H25">
        <f t="shared" si="0"/>
        <v>0</v>
      </c>
      <c r="I25">
        <f t="shared" si="1"/>
        <v>0</v>
      </c>
      <c r="J25">
        <f t="shared" si="2"/>
        <v>1</v>
      </c>
      <c r="K25">
        <v>12</v>
      </c>
      <c r="L25">
        <v>0.216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94.8</v>
      </c>
      <c r="H26">
        <f t="shared" si="0"/>
        <v>1</v>
      </c>
      <c r="I26">
        <f t="shared" si="1"/>
        <v>0</v>
      </c>
      <c r="J26">
        <f t="shared" si="2"/>
        <v>0</v>
      </c>
      <c r="K26">
        <v>25</v>
      </c>
      <c r="L26">
        <v>0.121</v>
      </c>
      <c r="M26">
        <v>2.99</v>
      </c>
      <c r="N26">
        <v>0</v>
      </c>
      <c r="O26">
        <v>3.5</v>
      </c>
      <c r="P26">
        <v>811771.14</v>
      </c>
      <c r="Q26">
        <v>148756.24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86.2</v>
      </c>
      <c r="H27">
        <f t="shared" si="0"/>
        <v>1</v>
      </c>
      <c r="I27">
        <f t="shared" si="1"/>
        <v>0</v>
      </c>
      <c r="J27">
        <f t="shared" si="2"/>
        <v>0</v>
      </c>
      <c r="K27">
        <v>22</v>
      </c>
      <c r="L27">
        <v>0.14000000000000001</v>
      </c>
      <c r="M27">
        <v>7.04</v>
      </c>
      <c r="N27">
        <v>0</v>
      </c>
      <c r="O27">
        <v>3.9</v>
      </c>
      <c r="P27">
        <v>800451.94</v>
      </c>
      <c r="Q27">
        <v>111572.29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91.9</v>
      </c>
      <c r="H28">
        <f t="shared" si="0"/>
        <v>1</v>
      </c>
      <c r="I28">
        <f t="shared" si="1"/>
        <v>0</v>
      </c>
      <c r="J28">
        <f t="shared" si="2"/>
        <v>0</v>
      </c>
      <c r="K28">
        <v>23</v>
      </c>
      <c r="L28">
        <v>0.16900000000000001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84.2</v>
      </c>
      <c r="H29">
        <f t="shared" si="0"/>
        <v>1</v>
      </c>
      <c r="I29">
        <f t="shared" si="1"/>
        <v>0</v>
      </c>
      <c r="J29">
        <f t="shared" si="2"/>
        <v>0</v>
      </c>
      <c r="K29">
        <v>16</v>
      </c>
      <c r="L29">
        <v>0.122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85</v>
      </c>
      <c r="H30">
        <f t="shared" si="0"/>
        <v>0</v>
      </c>
      <c r="I30">
        <f t="shared" si="1"/>
        <v>0</v>
      </c>
      <c r="J30">
        <f t="shared" si="2"/>
        <v>1</v>
      </c>
      <c r="K30">
        <v>11</v>
      </c>
      <c r="L30">
        <v>0.124</v>
      </c>
      <c r="M30">
        <v>0.48</v>
      </c>
      <c r="N30">
        <v>0</v>
      </c>
      <c r="O30">
        <v>3.6</v>
      </c>
      <c r="P30">
        <v>511844.41</v>
      </c>
      <c r="Q30">
        <v>72774.44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87.5</v>
      </c>
      <c r="H31">
        <f t="shared" si="0"/>
        <v>0</v>
      </c>
      <c r="I31">
        <f t="shared" si="1"/>
        <v>0</v>
      </c>
      <c r="J31">
        <f t="shared" si="2"/>
        <v>1</v>
      </c>
      <c r="K31">
        <v>9</v>
      </c>
      <c r="L31">
        <v>0.216</v>
      </c>
      <c r="M31">
        <v>0.31</v>
      </c>
      <c r="N31">
        <v>0</v>
      </c>
      <c r="O31">
        <v>3.1</v>
      </c>
      <c r="P31">
        <v>537383.79</v>
      </c>
      <c r="Q31">
        <v>63773.27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87.6</v>
      </c>
      <c r="H32">
        <f t="shared" si="0"/>
        <v>0</v>
      </c>
      <c r="I32">
        <f t="shared" si="1"/>
        <v>0</v>
      </c>
      <c r="J32">
        <f t="shared" si="2"/>
        <v>1</v>
      </c>
      <c r="K32">
        <v>11</v>
      </c>
      <c r="L32">
        <v>0.13600000000000001</v>
      </c>
      <c r="M32">
        <v>3.01</v>
      </c>
      <c r="N32">
        <v>1</v>
      </c>
      <c r="O32">
        <v>3.7</v>
      </c>
      <c r="P32">
        <v>500173.02</v>
      </c>
      <c r="Q32">
        <v>70982.05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89.9</v>
      </c>
      <c r="H33">
        <f t="shared" si="0"/>
        <v>0</v>
      </c>
      <c r="I33">
        <f t="shared" si="1"/>
        <v>0</v>
      </c>
      <c r="J33">
        <f t="shared" si="2"/>
        <v>1</v>
      </c>
      <c r="K33">
        <v>5</v>
      </c>
      <c r="L33">
        <v>0.16800000000000001</v>
      </c>
      <c r="M33">
        <v>12.15</v>
      </c>
      <c r="N33">
        <v>0</v>
      </c>
      <c r="O33">
        <v>3.6</v>
      </c>
      <c r="P33">
        <v>427917.38</v>
      </c>
      <c r="Q33">
        <v>81824.31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83.3</v>
      </c>
      <c r="H34">
        <f t="shared" si="0"/>
        <v>0</v>
      </c>
      <c r="I34">
        <f t="shared" si="1"/>
        <v>0</v>
      </c>
      <c r="J34">
        <f t="shared" si="2"/>
        <v>1</v>
      </c>
      <c r="K34">
        <v>21</v>
      </c>
      <c r="L34">
        <v>0.188</v>
      </c>
      <c r="M34">
        <v>11.71</v>
      </c>
      <c r="N34">
        <v>0</v>
      </c>
      <c r="O34">
        <v>4.2</v>
      </c>
      <c r="P34">
        <v>641865.03</v>
      </c>
      <c r="Q34">
        <v>81342.58</v>
      </c>
    </row>
    <row r="35" spans="1:17">
      <c r="A35" t="s">
        <v>30</v>
      </c>
      <c r="B35" s="2">
        <v>45717</v>
      </c>
      <c r="C35" t="s">
        <v>20</v>
      </c>
      <c r="D35" t="s">
        <v>16</v>
      </c>
      <c r="E35">
        <v>74413.88</v>
      </c>
      <c r="F35">
        <v>9449</v>
      </c>
      <c r="G35">
        <v>92.1</v>
      </c>
      <c r="H35">
        <f t="shared" si="0"/>
        <v>0</v>
      </c>
      <c r="I35">
        <f t="shared" si="1"/>
        <v>0</v>
      </c>
      <c r="J35">
        <f t="shared" si="2"/>
        <v>1</v>
      </c>
      <c r="K35">
        <v>23</v>
      </c>
      <c r="L35">
        <v>3.9E-2</v>
      </c>
      <c r="M35">
        <v>2.12</v>
      </c>
      <c r="N35">
        <v>0</v>
      </c>
      <c r="O35">
        <v>3.5</v>
      </c>
      <c r="P35">
        <v>798952.17</v>
      </c>
      <c r="Q35">
        <v>161499.04</v>
      </c>
    </row>
    <row r="36" spans="1:17">
      <c r="A36" t="s">
        <v>30</v>
      </c>
      <c r="B36" s="2">
        <v>45748</v>
      </c>
      <c r="C36" t="s">
        <v>20</v>
      </c>
      <c r="D36" t="s">
        <v>16</v>
      </c>
      <c r="E36">
        <v>52483.77</v>
      </c>
      <c r="F36">
        <v>10453</v>
      </c>
      <c r="G36">
        <v>99</v>
      </c>
      <c r="H36">
        <f t="shared" si="0"/>
        <v>0</v>
      </c>
      <c r="I36">
        <f t="shared" si="1"/>
        <v>0</v>
      </c>
      <c r="J36">
        <f t="shared" si="2"/>
        <v>1</v>
      </c>
      <c r="K36">
        <v>25</v>
      </c>
      <c r="L36">
        <v>0.247</v>
      </c>
      <c r="M36">
        <v>6.31</v>
      </c>
      <c r="N36">
        <v>0</v>
      </c>
      <c r="O36">
        <v>3.6</v>
      </c>
      <c r="P36">
        <v>800979.78</v>
      </c>
      <c r="Q36">
        <v>149242.26999999999</v>
      </c>
    </row>
    <row r="37" spans="1:17">
      <c r="A37" t="s">
        <v>31</v>
      </c>
      <c r="B37" s="2">
        <v>45658</v>
      </c>
      <c r="C37" t="s">
        <v>20</v>
      </c>
      <c r="D37" t="s">
        <v>28</v>
      </c>
      <c r="E37">
        <v>75269.87</v>
      </c>
      <c r="F37">
        <v>8838</v>
      </c>
      <c r="G37">
        <v>83.1</v>
      </c>
      <c r="H37">
        <f t="shared" si="0"/>
        <v>1</v>
      </c>
      <c r="I37">
        <f t="shared" si="1"/>
        <v>0</v>
      </c>
      <c r="J37">
        <f t="shared" si="2"/>
        <v>0</v>
      </c>
      <c r="K37">
        <v>21</v>
      </c>
      <c r="L37">
        <v>9.1999999999999998E-2</v>
      </c>
      <c r="M37">
        <v>9.56</v>
      </c>
      <c r="N37">
        <v>1</v>
      </c>
      <c r="O37">
        <v>4.2</v>
      </c>
      <c r="P37">
        <v>820593.93</v>
      </c>
      <c r="Q37">
        <v>115860.06</v>
      </c>
    </row>
    <row r="38" spans="1:17">
      <c r="A38" t="s">
        <v>31</v>
      </c>
      <c r="B38" s="2">
        <v>45689</v>
      </c>
      <c r="C38" t="s">
        <v>20</v>
      </c>
      <c r="D38" t="s">
        <v>28</v>
      </c>
      <c r="E38">
        <v>61245.41</v>
      </c>
      <c r="F38">
        <v>8156</v>
      </c>
      <c r="G38">
        <v>92.9</v>
      </c>
      <c r="H38">
        <f t="shared" si="0"/>
        <v>1</v>
      </c>
      <c r="I38">
        <f t="shared" si="1"/>
        <v>0</v>
      </c>
      <c r="J38">
        <f t="shared" si="2"/>
        <v>0</v>
      </c>
      <c r="K38">
        <v>19</v>
      </c>
      <c r="L38">
        <v>0.156</v>
      </c>
      <c r="M38">
        <v>9.0500000000000007</v>
      </c>
      <c r="N38">
        <v>0</v>
      </c>
      <c r="O38">
        <v>3.8</v>
      </c>
      <c r="P38">
        <v>718330.53</v>
      </c>
      <c r="Q38">
        <v>93247.9</v>
      </c>
    </row>
    <row r="39" spans="1:17">
      <c r="A39" t="s">
        <v>31</v>
      </c>
      <c r="B39" s="2">
        <v>45717</v>
      </c>
      <c r="C39" t="s">
        <v>20</v>
      </c>
      <c r="D39" t="s">
        <v>28</v>
      </c>
      <c r="E39">
        <v>93381.26</v>
      </c>
      <c r="F39">
        <v>7562</v>
      </c>
      <c r="G39">
        <v>82.9</v>
      </c>
      <c r="H39">
        <f t="shared" si="0"/>
        <v>1</v>
      </c>
      <c r="I39">
        <f t="shared" si="1"/>
        <v>0</v>
      </c>
      <c r="J39">
        <f t="shared" si="2"/>
        <v>0</v>
      </c>
      <c r="K39">
        <v>19</v>
      </c>
      <c r="L39">
        <v>0.19800000000000001</v>
      </c>
      <c r="M39">
        <v>5.05</v>
      </c>
      <c r="N39">
        <v>0</v>
      </c>
      <c r="O39">
        <v>4</v>
      </c>
      <c r="P39">
        <v>736633.4</v>
      </c>
      <c r="Q39">
        <v>115654.66</v>
      </c>
    </row>
    <row r="40" spans="1:17">
      <c r="A40" t="s">
        <v>31</v>
      </c>
      <c r="B40" s="2">
        <v>45748</v>
      </c>
      <c r="C40" t="s">
        <v>20</v>
      </c>
      <c r="D40" t="s">
        <v>28</v>
      </c>
      <c r="E40">
        <v>65012.19</v>
      </c>
      <c r="F40">
        <v>9598</v>
      </c>
      <c r="G40">
        <v>98.3</v>
      </c>
      <c r="H40">
        <f t="shared" si="0"/>
        <v>1</v>
      </c>
      <c r="I40">
        <f t="shared" si="1"/>
        <v>0</v>
      </c>
      <c r="J40">
        <f t="shared" si="2"/>
        <v>0</v>
      </c>
      <c r="K40">
        <v>24</v>
      </c>
      <c r="L40">
        <v>8.5000000000000006E-2</v>
      </c>
      <c r="M40">
        <v>0.89</v>
      </c>
      <c r="N40">
        <v>0</v>
      </c>
      <c r="O40">
        <v>3.8</v>
      </c>
      <c r="P40">
        <v>828623.85</v>
      </c>
      <c r="Q40">
        <v>167320.51999999999</v>
      </c>
    </row>
    <row r="41" spans="1:17">
      <c r="A41" t="s">
        <v>32</v>
      </c>
      <c r="B41" s="2">
        <v>45658</v>
      </c>
      <c r="C41" t="s">
        <v>15</v>
      </c>
      <c r="D41" t="s">
        <v>28</v>
      </c>
      <c r="E41">
        <v>40462.94</v>
      </c>
      <c r="F41">
        <v>3660</v>
      </c>
      <c r="G41">
        <v>95.2</v>
      </c>
      <c r="H41">
        <f t="shared" si="0"/>
        <v>1</v>
      </c>
      <c r="I41">
        <f t="shared" si="1"/>
        <v>0</v>
      </c>
      <c r="J41">
        <f t="shared" si="2"/>
        <v>0</v>
      </c>
      <c r="K41">
        <v>11</v>
      </c>
      <c r="L41">
        <v>0.218</v>
      </c>
      <c r="M41">
        <v>5.57</v>
      </c>
      <c r="N41">
        <v>0</v>
      </c>
      <c r="O41">
        <v>4.4000000000000004</v>
      </c>
      <c r="P41">
        <v>592195.85</v>
      </c>
      <c r="Q41">
        <v>92291.56</v>
      </c>
    </row>
    <row r="42" spans="1:17">
      <c r="A42" t="s">
        <v>32</v>
      </c>
      <c r="B42" s="2">
        <v>45689</v>
      </c>
      <c r="C42" t="s">
        <v>15</v>
      </c>
      <c r="D42" t="s">
        <v>28</v>
      </c>
      <c r="E42">
        <v>46123.88</v>
      </c>
      <c r="F42">
        <v>3227</v>
      </c>
      <c r="G42">
        <v>75.400000000000006</v>
      </c>
      <c r="H42">
        <f t="shared" si="0"/>
        <v>1</v>
      </c>
      <c r="I42">
        <f t="shared" si="1"/>
        <v>0</v>
      </c>
      <c r="J42">
        <f t="shared" si="2"/>
        <v>0</v>
      </c>
      <c r="K42">
        <v>10</v>
      </c>
      <c r="L42">
        <v>0.14299999999999999</v>
      </c>
      <c r="M42">
        <v>1.06</v>
      </c>
      <c r="N42">
        <v>0</v>
      </c>
      <c r="O42">
        <v>4.4000000000000004</v>
      </c>
      <c r="P42">
        <v>532644.46</v>
      </c>
      <c r="Q42">
        <v>60681.32</v>
      </c>
    </row>
    <row r="43" spans="1:17">
      <c r="A43" t="s">
        <v>32</v>
      </c>
      <c r="B43" s="2">
        <v>45717</v>
      </c>
      <c r="C43" t="s">
        <v>15</v>
      </c>
      <c r="D43" t="s">
        <v>28</v>
      </c>
      <c r="E43">
        <v>68077.539999999994</v>
      </c>
      <c r="F43">
        <v>3360</v>
      </c>
      <c r="G43">
        <v>88.2</v>
      </c>
      <c r="H43">
        <f t="shared" si="0"/>
        <v>1</v>
      </c>
      <c r="I43">
        <f t="shared" si="1"/>
        <v>0</v>
      </c>
      <c r="J43">
        <f t="shared" si="2"/>
        <v>0</v>
      </c>
      <c r="K43">
        <v>14</v>
      </c>
      <c r="L43">
        <v>0.128</v>
      </c>
      <c r="M43">
        <v>1.24</v>
      </c>
      <c r="N43">
        <v>1</v>
      </c>
      <c r="O43">
        <v>4</v>
      </c>
      <c r="P43">
        <v>657429.18000000005</v>
      </c>
      <c r="Q43">
        <v>88919.74</v>
      </c>
    </row>
    <row r="44" spans="1:17">
      <c r="A44" t="s">
        <v>32</v>
      </c>
      <c r="B44" s="2">
        <v>45748</v>
      </c>
      <c r="C44" t="s">
        <v>15</v>
      </c>
      <c r="D44" t="s">
        <v>28</v>
      </c>
      <c r="E44">
        <v>64882.14</v>
      </c>
      <c r="F44">
        <v>3642</v>
      </c>
      <c r="G44">
        <v>87.8</v>
      </c>
      <c r="H44">
        <f t="shared" si="0"/>
        <v>1</v>
      </c>
      <c r="I44">
        <f t="shared" si="1"/>
        <v>0</v>
      </c>
      <c r="J44">
        <f t="shared" si="2"/>
        <v>0</v>
      </c>
      <c r="K44">
        <v>13</v>
      </c>
      <c r="L44">
        <v>1.9E-2</v>
      </c>
      <c r="M44">
        <v>4.5199999999999996</v>
      </c>
      <c r="N44">
        <v>0</v>
      </c>
      <c r="O44">
        <v>4.2</v>
      </c>
      <c r="P44">
        <v>605178</v>
      </c>
      <c r="Q44">
        <v>106958.74</v>
      </c>
    </row>
    <row r="45" spans="1:17">
      <c r="A45" t="s">
        <v>33</v>
      </c>
      <c r="B45" s="2">
        <v>45658</v>
      </c>
      <c r="C45" t="s">
        <v>27</v>
      </c>
      <c r="D45" t="s">
        <v>16</v>
      </c>
      <c r="E45">
        <v>138855.51</v>
      </c>
      <c r="F45">
        <v>5145</v>
      </c>
      <c r="G45">
        <v>88.2</v>
      </c>
      <c r="H45">
        <f t="shared" si="0"/>
        <v>0</v>
      </c>
      <c r="I45">
        <f t="shared" si="1"/>
        <v>0</v>
      </c>
      <c r="J45">
        <f t="shared" si="2"/>
        <v>1</v>
      </c>
      <c r="K45">
        <v>17</v>
      </c>
      <c r="L45">
        <v>0.06</v>
      </c>
      <c r="M45">
        <v>9.58</v>
      </c>
      <c r="N45">
        <v>0</v>
      </c>
      <c r="O45">
        <v>3.2</v>
      </c>
      <c r="P45">
        <v>595467.6</v>
      </c>
      <c r="Q45">
        <v>104276.46</v>
      </c>
    </row>
    <row r="46" spans="1:17">
      <c r="A46" t="s">
        <v>33</v>
      </c>
      <c r="B46" s="2">
        <v>45689</v>
      </c>
      <c r="C46" t="s">
        <v>27</v>
      </c>
      <c r="D46" t="s">
        <v>16</v>
      </c>
      <c r="E46">
        <v>63630.21</v>
      </c>
      <c r="F46">
        <v>4460</v>
      </c>
      <c r="G46">
        <v>98.6</v>
      </c>
      <c r="H46">
        <f t="shared" si="0"/>
        <v>0</v>
      </c>
      <c r="I46">
        <f t="shared" si="1"/>
        <v>0</v>
      </c>
      <c r="J46">
        <f t="shared" si="2"/>
        <v>1</v>
      </c>
      <c r="K46">
        <v>14</v>
      </c>
      <c r="L46">
        <v>0.23499999999999999</v>
      </c>
      <c r="M46">
        <v>5.52</v>
      </c>
      <c r="N46">
        <v>0</v>
      </c>
      <c r="O46">
        <v>3.5</v>
      </c>
      <c r="P46">
        <v>599603.4</v>
      </c>
      <c r="Q46">
        <v>112685.12</v>
      </c>
    </row>
    <row r="47" spans="1:17">
      <c r="A47" t="s">
        <v>33</v>
      </c>
      <c r="B47" s="2">
        <v>45717</v>
      </c>
      <c r="C47" t="s">
        <v>27</v>
      </c>
      <c r="D47" t="s">
        <v>16</v>
      </c>
      <c r="E47">
        <v>50043.65</v>
      </c>
      <c r="F47">
        <v>3804</v>
      </c>
      <c r="G47">
        <v>90.9</v>
      </c>
      <c r="H47">
        <f t="shared" si="0"/>
        <v>0</v>
      </c>
      <c r="I47">
        <f t="shared" si="1"/>
        <v>0</v>
      </c>
      <c r="J47">
        <f t="shared" si="2"/>
        <v>1</v>
      </c>
      <c r="K47">
        <v>11</v>
      </c>
      <c r="L47">
        <v>0.113</v>
      </c>
      <c r="M47">
        <v>2.7</v>
      </c>
      <c r="N47">
        <v>1</v>
      </c>
      <c r="O47">
        <v>3.2</v>
      </c>
      <c r="P47">
        <v>614800.09</v>
      </c>
      <c r="Q47">
        <v>100044.2</v>
      </c>
    </row>
    <row r="48" spans="1:17">
      <c r="A48" t="s">
        <v>33</v>
      </c>
      <c r="B48" s="2">
        <v>45748</v>
      </c>
      <c r="C48" t="s">
        <v>27</v>
      </c>
      <c r="D48" t="s">
        <v>16</v>
      </c>
      <c r="E48">
        <v>42093.84</v>
      </c>
      <c r="F48">
        <v>4074</v>
      </c>
      <c r="G48">
        <v>88</v>
      </c>
      <c r="H48">
        <f t="shared" si="0"/>
        <v>0</v>
      </c>
      <c r="I48">
        <f t="shared" si="1"/>
        <v>0</v>
      </c>
      <c r="J48">
        <f t="shared" si="2"/>
        <v>1</v>
      </c>
      <c r="K48">
        <v>15</v>
      </c>
      <c r="L48">
        <v>0.155</v>
      </c>
      <c r="M48">
        <v>9.64</v>
      </c>
      <c r="N48">
        <v>0</v>
      </c>
      <c r="O48">
        <v>3.3</v>
      </c>
      <c r="P48">
        <v>585365.73</v>
      </c>
      <c r="Q48">
        <v>81011.520000000004</v>
      </c>
    </row>
    <row r="49" spans="1:17">
      <c r="A49" t="s">
        <v>34</v>
      </c>
      <c r="B49" s="2">
        <v>45658</v>
      </c>
      <c r="C49" t="s">
        <v>20</v>
      </c>
      <c r="D49" t="s">
        <v>28</v>
      </c>
      <c r="E49">
        <v>46624.05</v>
      </c>
      <c r="F49">
        <v>5104</v>
      </c>
      <c r="G49">
        <v>97.3</v>
      </c>
      <c r="H49">
        <f t="shared" si="0"/>
        <v>1</v>
      </c>
      <c r="I49">
        <f t="shared" si="1"/>
        <v>0</v>
      </c>
      <c r="J49">
        <f t="shared" si="2"/>
        <v>0</v>
      </c>
      <c r="K49">
        <v>11</v>
      </c>
      <c r="L49">
        <v>0.109</v>
      </c>
      <c r="M49">
        <v>3.49</v>
      </c>
      <c r="N49">
        <v>1</v>
      </c>
      <c r="O49">
        <v>4.7</v>
      </c>
      <c r="P49">
        <v>622811.74</v>
      </c>
      <c r="Q49">
        <v>109978.35</v>
      </c>
    </row>
    <row r="50" spans="1:17">
      <c r="A50" t="s">
        <v>34</v>
      </c>
      <c r="B50" s="2">
        <v>45689</v>
      </c>
      <c r="C50" t="s">
        <v>20</v>
      </c>
      <c r="D50" t="s">
        <v>28</v>
      </c>
      <c r="E50">
        <v>49710.29</v>
      </c>
      <c r="F50">
        <v>5559</v>
      </c>
      <c r="G50">
        <v>71</v>
      </c>
      <c r="H50">
        <f t="shared" si="0"/>
        <v>1</v>
      </c>
      <c r="I50">
        <f t="shared" si="1"/>
        <v>0</v>
      </c>
      <c r="J50">
        <f t="shared" si="2"/>
        <v>0</v>
      </c>
      <c r="K50">
        <v>14</v>
      </c>
      <c r="L50">
        <v>0.218</v>
      </c>
      <c r="M50">
        <v>9.11</v>
      </c>
      <c r="N50">
        <v>0</v>
      </c>
      <c r="O50">
        <v>4.5999999999999996</v>
      </c>
      <c r="P50">
        <v>603297.56999999995</v>
      </c>
      <c r="Q50">
        <v>60592.26</v>
      </c>
    </row>
    <row r="51" spans="1:17">
      <c r="A51" t="s">
        <v>34</v>
      </c>
      <c r="B51" s="2">
        <v>45717</v>
      </c>
      <c r="C51" t="s">
        <v>20</v>
      </c>
      <c r="D51" t="s">
        <v>28</v>
      </c>
      <c r="E51">
        <v>48287.85</v>
      </c>
      <c r="F51">
        <v>5150</v>
      </c>
      <c r="G51">
        <v>80.400000000000006</v>
      </c>
      <c r="H51">
        <f t="shared" si="0"/>
        <v>1</v>
      </c>
      <c r="I51">
        <f t="shared" si="1"/>
        <v>0</v>
      </c>
      <c r="J51">
        <f t="shared" si="2"/>
        <v>0</v>
      </c>
      <c r="K51">
        <v>12</v>
      </c>
      <c r="L51">
        <v>8.0000000000000002E-3</v>
      </c>
      <c r="M51">
        <v>7.4</v>
      </c>
      <c r="N51">
        <v>0</v>
      </c>
      <c r="O51">
        <v>4.5</v>
      </c>
      <c r="P51">
        <v>625672.86</v>
      </c>
      <c r="Q51">
        <v>118020.12</v>
      </c>
    </row>
    <row r="52" spans="1:17">
      <c r="A52" t="s">
        <v>34</v>
      </c>
      <c r="B52" s="2">
        <v>45748</v>
      </c>
      <c r="C52" t="s">
        <v>20</v>
      </c>
      <c r="D52" t="s">
        <v>28</v>
      </c>
      <c r="E52">
        <v>65312.49</v>
      </c>
      <c r="F52">
        <v>7189</v>
      </c>
      <c r="G52">
        <v>93.7</v>
      </c>
      <c r="H52">
        <f t="shared" si="0"/>
        <v>1</v>
      </c>
      <c r="I52">
        <f t="shared" si="1"/>
        <v>0</v>
      </c>
      <c r="J52">
        <f t="shared" si="2"/>
        <v>0</v>
      </c>
      <c r="K52">
        <v>19</v>
      </c>
      <c r="L52">
        <v>0.05</v>
      </c>
      <c r="M52">
        <v>7.16</v>
      </c>
      <c r="N52">
        <v>0</v>
      </c>
      <c r="O52">
        <v>4.5999999999999996</v>
      </c>
      <c r="P52">
        <v>773815.14</v>
      </c>
      <c r="Q52">
        <v>133948.39000000001</v>
      </c>
    </row>
    <row r="53" spans="1:17">
      <c r="A53" t="s">
        <v>35</v>
      </c>
      <c r="B53" s="2">
        <v>45658</v>
      </c>
      <c r="C53" t="s">
        <v>27</v>
      </c>
      <c r="D53" t="s">
        <v>18</v>
      </c>
      <c r="E53">
        <v>53015.46</v>
      </c>
      <c r="F53">
        <v>3279</v>
      </c>
      <c r="G53">
        <v>84.3</v>
      </c>
      <c r="H53">
        <f t="shared" si="0"/>
        <v>0</v>
      </c>
      <c r="I53">
        <f t="shared" si="1"/>
        <v>1</v>
      </c>
      <c r="J53">
        <f t="shared" si="2"/>
        <v>0</v>
      </c>
      <c r="K53">
        <v>9</v>
      </c>
      <c r="L53">
        <v>8.6999999999999994E-2</v>
      </c>
      <c r="M53">
        <v>22.02</v>
      </c>
      <c r="N53">
        <v>0</v>
      </c>
      <c r="O53">
        <v>3.9</v>
      </c>
      <c r="P53">
        <v>463534.25</v>
      </c>
      <c r="Q53">
        <v>81834.539999999994</v>
      </c>
    </row>
    <row r="54" spans="1:17">
      <c r="A54" t="s">
        <v>35</v>
      </c>
      <c r="B54" s="2">
        <v>45689</v>
      </c>
      <c r="C54" t="s">
        <v>27</v>
      </c>
      <c r="D54" t="s">
        <v>18</v>
      </c>
      <c r="E54">
        <v>99874.01</v>
      </c>
      <c r="F54">
        <v>5887</v>
      </c>
      <c r="G54">
        <v>88.7</v>
      </c>
      <c r="H54">
        <f t="shared" si="0"/>
        <v>0</v>
      </c>
      <c r="I54">
        <f t="shared" si="1"/>
        <v>1</v>
      </c>
      <c r="J54">
        <f t="shared" si="2"/>
        <v>0</v>
      </c>
      <c r="K54">
        <v>14</v>
      </c>
      <c r="L54">
        <v>0.26200000000000001</v>
      </c>
      <c r="M54">
        <v>6.18</v>
      </c>
      <c r="N54">
        <v>0</v>
      </c>
      <c r="O54">
        <v>4.7</v>
      </c>
      <c r="P54">
        <v>746677.75</v>
      </c>
      <c r="Q54">
        <v>122437.84</v>
      </c>
    </row>
    <row r="55" spans="1:17">
      <c r="A55" t="s">
        <v>35</v>
      </c>
      <c r="B55" s="2">
        <v>45717</v>
      </c>
      <c r="C55" t="s">
        <v>27</v>
      </c>
      <c r="D55" t="s">
        <v>18</v>
      </c>
      <c r="E55">
        <v>81195.5</v>
      </c>
      <c r="F55">
        <v>5516</v>
      </c>
      <c r="G55">
        <v>88</v>
      </c>
      <c r="H55">
        <f t="shared" si="0"/>
        <v>0</v>
      </c>
      <c r="I55">
        <f t="shared" si="1"/>
        <v>1</v>
      </c>
      <c r="J55">
        <f t="shared" si="2"/>
        <v>0</v>
      </c>
      <c r="K55">
        <v>14</v>
      </c>
      <c r="L55">
        <v>0.106</v>
      </c>
      <c r="M55">
        <v>1.76</v>
      </c>
      <c r="N55">
        <v>0</v>
      </c>
      <c r="O55">
        <v>4.3</v>
      </c>
      <c r="P55">
        <v>720852.5</v>
      </c>
      <c r="Q55">
        <v>98565.62</v>
      </c>
    </row>
    <row r="56" spans="1:17">
      <c r="A56" t="s">
        <v>35</v>
      </c>
      <c r="B56" s="2">
        <v>45748</v>
      </c>
      <c r="C56" t="s">
        <v>27</v>
      </c>
      <c r="D56" t="s">
        <v>18</v>
      </c>
      <c r="E56">
        <v>27808.6</v>
      </c>
      <c r="F56">
        <v>2863</v>
      </c>
      <c r="G56">
        <v>89.3</v>
      </c>
      <c r="H56">
        <f t="shared" si="0"/>
        <v>0</v>
      </c>
      <c r="I56">
        <f t="shared" si="1"/>
        <v>1</v>
      </c>
      <c r="J56">
        <f t="shared" si="2"/>
        <v>0</v>
      </c>
      <c r="K56">
        <v>13</v>
      </c>
      <c r="L56">
        <v>0.08</v>
      </c>
      <c r="M56">
        <v>0.47</v>
      </c>
      <c r="N56">
        <v>0</v>
      </c>
      <c r="O56">
        <v>4.0999999999999996</v>
      </c>
      <c r="P56">
        <v>487464.91</v>
      </c>
      <c r="Q56">
        <v>64562.26</v>
      </c>
    </row>
    <row r="57" spans="1:17">
      <c r="A57" t="s">
        <v>36</v>
      </c>
      <c r="B57" s="2">
        <v>45658</v>
      </c>
      <c r="C57" t="s">
        <v>15</v>
      </c>
      <c r="D57" t="s">
        <v>21</v>
      </c>
      <c r="E57">
        <v>19365.060000000001</v>
      </c>
      <c r="F57">
        <v>2378</v>
      </c>
      <c r="G57">
        <v>94.8</v>
      </c>
      <c r="H57">
        <f t="shared" si="0"/>
        <v>0</v>
      </c>
      <c r="I57">
        <f t="shared" si="1"/>
        <v>0</v>
      </c>
      <c r="J57">
        <f t="shared" si="2"/>
        <v>0</v>
      </c>
      <c r="K57">
        <v>12</v>
      </c>
      <c r="L57">
        <v>0</v>
      </c>
      <c r="M57">
        <v>0.2</v>
      </c>
      <c r="N57">
        <v>0</v>
      </c>
      <c r="O57">
        <v>3.5</v>
      </c>
      <c r="P57">
        <v>518049.26</v>
      </c>
      <c r="Q57">
        <v>108592.49</v>
      </c>
    </row>
    <row r="58" spans="1:17">
      <c r="A58" t="s">
        <v>36</v>
      </c>
      <c r="B58" s="2">
        <v>45689</v>
      </c>
      <c r="C58" t="s">
        <v>15</v>
      </c>
      <c r="D58" t="s">
        <v>21</v>
      </c>
      <c r="E58">
        <v>59405.68</v>
      </c>
      <c r="F58">
        <v>2515</v>
      </c>
      <c r="G58">
        <v>76</v>
      </c>
      <c r="H58">
        <f t="shared" si="0"/>
        <v>0</v>
      </c>
      <c r="I58">
        <f t="shared" si="1"/>
        <v>0</v>
      </c>
      <c r="J58">
        <f t="shared" si="2"/>
        <v>0</v>
      </c>
      <c r="K58">
        <v>12</v>
      </c>
      <c r="L58">
        <v>3.9E-2</v>
      </c>
      <c r="M58">
        <v>5.1100000000000003</v>
      </c>
      <c r="N58">
        <v>0</v>
      </c>
      <c r="O58">
        <v>3.7</v>
      </c>
      <c r="P58">
        <v>500298.48</v>
      </c>
      <c r="Q58">
        <v>73461.320000000007</v>
      </c>
    </row>
    <row r="59" spans="1:17">
      <c r="A59" t="s">
        <v>36</v>
      </c>
      <c r="B59" s="2">
        <v>45717</v>
      </c>
      <c r="C59" t="s">
        <v>15</v>
      </c>
      <c r="D59" t="s">
        <v>21</v>
      </c>
      <c r="E59">
        <v>118910.48</v>
      </c>
      <c r="F59">
        <v>4022</v>
      </c>
      <c r="G59">
        <v>87.1</v>
      </c>
      <c r="H59">
        <f t="shared" si="0"/>
        <v>0</v>
      </c>
      <c r="I59">
        <f t="shared" si="1"/>
        <v>0</v>
      </c>
      <c r="J59">
        <f t="shared" si="2"/>
        <v>0</v>
      </c>
      <c r="K59">
        <v>11</v>
      </c>
      <c r="L59">
        <v>0.13700000000000001</v>
      </c>
      <c r="M59">
        <v>0.2</v>
      </c>
      <c r="N59">
        <v>0</v>
      </c>
      <c r="O59">
        <v>3.1</v>
      </c>
      <c r="P59">
        <v>617291.15</v>
      </c>
      <c r="Q59">
        <v>117782</v>
      </c>
    </row>
    <row r="60" spans="1:17">
      <c r="A60" t="s">
        <v>36</v>
      </c>
      <c r="B60" s="2">
        <v>45748</v>
      </c>
      <c r="C60" t="s">
        <v>15</v>
      </c>
      <c r="D60" t="s">
        <v>21</v>
      </c>
      <c r="E60">
        <v>52952.12</v>
      </c>
      <c r="F60">
        <v>4377</v>
      </c>
      <c r="G60">
        <v>88.6</v>
      </c>
      <c r="H60">
        <f t="shared" si="0"/>
        <v>0</v>
      </c>
      <c r="I60">
        <f t="shared" si="1"/>
        <v>0</v>
      </c>
      <c r="J60">
        <f t="shared" si="2"/>
        <v>0</v>
      </c>
      <c r="K60">
        <v>14</v>
      </c>
      <c r="L60">
        <v>9.1999999999999998E-2</v>
      </c>
      <c r="M60">
        <v>13.59</v>
      </c>
      <c r="N60">
        <v>0</v>
      </c>
      <c r="O60">
        <v>3.1</v>
      </c>
      <c r="P60">
        <v>553756.43000000005</v>
      </c>
      <c r="Q60">
        <v>86166.77</v>
      </c>
    </row>
    <row r="61" spans="1:17">
      <c r="A61" t="s">
        <v>37</v>
      </c>
      <c r="B61" s="2">
        <v>45658</v>
      </c>
      <c r="C61" t="s">
        <v>24</v>
      </c>
      <c r="D61" t="s">
        <v>18</v>
      </c>
      <c r="E61">
        <v>74907.98</v>
      </c>
      <c r="F61">
        <v>5306</v>
      </c>
      <c r="G61">
        <v>95.6</v>
      </c>
      <c r="H61">
        <f t="shared" si="0"/>
        <v>0</v>
      </c>
      <c r="I61">
        <f t="shared" si="1"/>
        <v>1</v>
      </c>
      <c r="J61">
        <f t="shared" si="2"/>
        <v>0</v>
      </c>
      <c r="K61">
        <v>16</v>
      </c>
      <c r="L61">
        <v>6.2E-2</v>
      </c>
      <c r="M61">
        <v>1.02</v>
      </c>
      <c r="N61">
        <v>0</v>
      </c>
      <c r="O61">
        <v>3.7</v>
      </c>
      <c r="P61">
        <v>749559.71</v>
      </c>
      <c r="Q61">
        <v>144522.53</v>
      </c>
    </row>
    <row r="62" spans="1:17">
      <c r="A62" t="s">
        <v>37</v>
      </c>
      <c r="B62" s="2">
        <v>45689</v>
      </c>
      <c r="C62" t="s">
        <v>24</v>
      </c>
      <c r="D62" t="s">
        <v>18</v>
      </c>
      <c r="E62">
        <v>37284.660000000003</v>
      </c>
      <c r="F62">
        <v>3928</v>
      </c>
      <c r="G62">
        <v>86.5</v>
      </c>
      <c r="H62">
        <f t="shared" si="0"/>
        <v>0</v>
      </c>
      <c r="I62">
        <f t="shared" si="1"/>
        <v>1</v>
      </c>
      <c r="J62">
        <f t="shared" si="2"/>
        <v>0</v>
      </c>
      <c r="K62">
        <v>12</v>
      </c>
      <c r="L62">
        <v>7.3999999999999996E-2</v>
      </c>
      <c r="M62">
        <v>1.64</v>
      </c>
      <c r="N62">
        <v>0</v>
      </c>
      <c r="O62">
        <v>3.8</v>
      </c>
      <c r="P62">
        <v>615966.48</v>
      </c>
      <c r="Q62">
        <v>91509.38</v>
      </c>
    </row>
    <row r="63" spans="1:17">
      <c r="A63" t="s">
        <v>37</v>
      </c>
      <c r="B63" s="2">
        <v>45717</v>
      </c>
      <c r="C63" t="s">
        <v>24</v>
      </c>
      <c r="D63" t="s">
        <v>18</v>
      </c>
      <c r="E63">
        <v>50343.19</v>
      </c>
      <c r="F63">
        <v>3845</v>
      </c>
      <c r="G63">
        <v>88.7</v>
      </c>
      <c r="H63">
        <f t="shared" si="0"/>
        <v>0</v>
      </c>
      <c r="I63">
        <f t="shared" si="1"/>
        <v>1</v>
      </c>
      <c r="J63">
        <f t="shared" si="2"/>
        <v>0</v>
      </c>
      <c r="K63">
        <v>9</v>
      </c>
      <c r="L63">
        <v>0.113</v>
      </c>
      <c r="M63">
        <v>5.15</v>
      </c>
      <c r="N63">
        <v>0</v>
      </c>
      <c r="O63">
        <v>3.3</v>
      </c>
      <c r="P63">
        <v>572011.19999999995</v>
      </c>
      <c r="Q63">
        <v>101409.68</v>
      </c>
    </row>
    <row r="64" spans="1:17">
      <c r="A64" t="s">
        <v>37</v>
      </c>
      <c r="B64" s="2">
        <v>45748</v>
      </c>
      <c r="C64" t="s">
        <v>24</v>
      </c>
      <c r="D64" t="s">
        <v>18</v>
      </c>
      <c r="E64">
        <v>74954.47</v>
      </c>
      <c r="F64">
        <v>6620</v>
      </c>
      <c r="G64">
        <v>91.1</v>
      </c>
      <c r="H64">
        <f t="shared" si="0"/>
        <v>0</v>
      </c>
      <c r="I64">
        <f t="shared" si="1"/>
        <v>1</v>
      </c>
      <c r="J64">
        <f t="shared" si="2"/>
        <v>0</v>
      </c>
      <c r="K64">
        <v>17</v>
      </c>
      <c r="L64">
        <v>5.3999999999999999E-2</v>
      </c>
      <c r="M64">
        <v>1.1100000000000001</v>
      </c>
      <c r="N64">
        <v>0</v>
      </c>
      <c r="O64">
        <v>3.5</v>
      </c>
      <c r="P64">
        <v>761860.19</v>
      </c>
      <c r="Q64">
        <v>133279.38</v>
      </c>
    </row>
    <row r="65" spans="1:17">
      <c r="A65" t="s">
        <v>38</v>
      </c>
      <c r="B65" s="2">
        <v>45658</v>
      </c>
      <c r="C65" t="s">
        <v>27</v>
      </c>
      <c r="D65" t="s">
        <v>18</v>
      </c>
      <c r="E65">
        <v>70040.31</v>
      </c>
      <c r="F65">
        <v>9175</v>
      </c>
      <c r="G65">
        <v>95.1</v>
      </c>
      <c r="H65">
        <f t="shared" si="0"/>
        <v>0</v>
      </c>
      <c r="I65">
        <f t="shared" si="1"/>
        <v>1</v>
      </c>
      <c r="J65">
        <f t="shared" si="2"/>
        <v>0</v>
      </c>
      <c r="K65">
        <v>23</v>
      </c>
      <c r="L65">
        <v>0.107</v>
      </c>
      <c r="M65">
        <v>6.08</v>
      </c>
      <c r="N65">
        <v>1</v>
      </c>
      <c r="O65">
        <v>3.4</v>
      </c>
      <c r="P65">
        <v>784502.68</v>
      </c>
      <c r="Q65">
        <v>129519.72</v>
      </c>
    </row>
    <row r="66" spans="1:17">
      <c r="A66" t="s">
        <v>38</v>
      </c>
      <c r="B66" s="2">
        <v>45689</v>
      </c>
      <c r="C66" t="s">
        <v>27</v>
      </c>
      <c r="D66" t="s">
        <v>18</v>
      </c>
      <c r="E66">
        <v>51148.69</v>
      </c>
      <c r="F66">
        <v>7940</v>
      </c>
      <c r="G66">
        <v>93.3</v>
      </c>
      <c r="H66">
        <f t="shared" si="0"/>
        <v>0</v>
      </c>
      <c r="I66">
        <f t="shared" si="1"/>
        <v>1</v>
      </c>
      <c r="J66">
        <f t="shared" si="2"/>
        <v>0</v>
      </c>
      <c r="K66">
        <v>18</v>
      </c>
      <c r="L66">
        <v>0.156</v>
      </c>
      <c r="M66">
        <v>10.91</v>
      </c>
      <c r="N66">
        <v>0</v>
      </c>
      <c r="O66">
        <v>3.6</v>
      </c>
      <c r="P66">
        <v>717141.55</v>
      </c>
      <c r="Q66">
        <v>134013.60999999999</v>
      </c>
    </row>
    <row r="67" spans="1:17">
      <c r="A67" t="s">
        <v>38</v>
      </c>
      <c r="B67" s="2">
        <v>45717</v>
      </c>
      <c r="C67" t="s">
        <v>27</v>
      </c>
      <c r="D67" t="s">
        <v>18</v>
      </c>
      <c r="E67">
        <v>79346.100000000006</v>
      </c>
      <c r="F67">
        <v>9628</v>
      </c>
      <c r="G67">
        <v>99</v>
      </c>
      <c r="H67">
        <f t="shared" ref="H67:H130" si="3">IF($D67="Mall", 1, 0)</f>
        <v>0</v>
      </c>
      <c r="I67">
        <f t="shared" ref="I67:I130" si="4">IF($D67="High Street", 1, 0)</f>
        <v>1</v>
      </c>
      <c r="J67">
        <f t="shared" ref="J67:J130" si="5">IF($D67="Residential", 1, 0)</f>
        <v>0</v>
      </c>
      <c r="K67">
        <v>20</v>
      </c>
      <c r="L67">
        <v>0.10199999999999999</v>
      </c>
      <c r="M67">
        <v>19.010000000000002</v>
      </c>
      <c r="N67">
        <v>1</v>
      </c>
      <c r="O67">
        <v>3.2</v>
      </c>
      <c r="P67">
        <v>685379.08</v>
      </c>
      <c r="Q67">
        <v>106898.82</v>
      </c>
    </row>
    <row r="68" spans="1:17">
      <c r="A68" t="s">
        <v>38</v>
      </c>
      <c r="B68" s="2">
        <v>45748</v>
      </c>
      <c r="C68" t="s">
        <v>27</v>
      </c>
      <c r="D68" t="s">
        <v>18</v>
      </c>
      <c r="E68">
        <v>42018.400000000001</v>
      </c>
      <c r="F68">
        <v>8296</v>
      </c>
      <c r="G68">
        <v>91.8</v>
      </c>
      <c r="H68">
        <f t="shared" si="3"/>
        <v>0</v>
      </c>
      <c r="I68">
        <f t="shared" si="4"/>
        <v>1</v>
      </c>
      <c r="J68">
        <f t="shared" si="5"/>
        <v>0</v>
      </c>
      <c r="K68">
        <v>17</v>
      </c>
      <c r="L68">
        <v>0.115</v>
      </c>
      <c r="M68">
        <v>0.77</v>
      </c>
      <c r="N68">
        <v>0</v>
      </c>
      <c r="O68">
        <v>3.4</v>
      </c>
      <c r="P68">
        <v>740496.65</v>
      </c>
      <c r="Q68">
        <v>128020.9</v>
      </c>
    </row>
    <row r="69" spans="1:17">
      <c r="A69" t="s">
        <v>39</v>
      </c>
      <c r="B69" s="2">
        <v>45658</v>
      </c>
      <c r="C69" t="s">
        <v>15</v>
      </c>
      <c r="D69" t="s">
        <v>18</v>
      </c>
      <c r="E69">
        <v>70937.240000000005</v>
      </c>
      <c r="F69">
        <v>3595</v>
      </c>
      <c r="G69">
        <v>88.9</v>
      </c>
      <c r="H69">
        <f t="shared" si="3"/>
        <v>0</v>
      </c>
      <c r="I69">
        <f t="shared" si="4"/>
        <v>1</v>
      </c>
      <c r="J69">
        <f t="shared" si="5"/>
        <v>0</v>
      </c>
      <c r="K69">
        <v>11</v>
      </c>
      <c r="L69">
        <v>0.14099999999999999</v>
      </c>
      <c r="M69">
        <v>2.83</v>
      </c>
      <c r="N69">
        <v>1</v>
      </c>
      <c r="O69">
        <v>3.3</v>
      </c>
      <c r="P69">
        <v>661927.14</v>
      </c>
      <c r="Q69">
        <v>79218.570000000007</v>
      </c>
    </row>
    <row r="70" spans="1:17">
      <c r="A70" t="s">
        <v>39</v>
      </c>
      <c r="B70" s="2">
        <v>45689</v>
      </c>
      <c r="C70" t="s">
        <v>15</v>
      </c>
      <c r="D70" t="s">
        <v>18</v>
      </c>
      <c r="E70">
        <v>36813.449999999997</v>
      </c>
      <c r="F70">
        <v>2834</v>
      </c>
      <c r="G70">
        <v>81.8</v>
      </c>
      <c r="H70">
        <f t="shared" si="3"/>
        <v>0</v>
      </c>
      <c r="I70">
        <f t="shared" si="4"/>
        <v>1</v>
      </c>
      <c r="J70">
        <f t="shared" si="5"/>
        <v>0</v>
      </c>
      <c r="K70">
        <v>11</v>
      </c>
      <c r="L70">
        <v>0.191</v>
      </c>
      <c r="M70">
        <v>2.33</v>
      </c>
      <c r="N70">
        <v>0</v>
      </c>
      <c r="O70">
        <v>3.3</v>
      </c>
      <c r="P70">
        <v>479050.5</v>
      </c>
      <c r="Q70">
        <v>53651.11</v>
      </c>
    </row>
    <row r="71" spans="1:17">
      <c r="A71" t="s">
        <v>39</v>
      </c>
      <c r="B71" s="2">
        <v>45717</v>
      </c>
      <c r="C71" t="s">
        <v>15</v>
      </c>
      <c r="D71" t="s">
        <v>18</v>
      </c>
      <c r="E71">
        <v>60571.82</v>
      </c>
      <c r="F71">
        <v>3193</v>
      </c>
      <c r="G71">
        <v>99</v>
      </c>
      <c r="H71">
        <f t="shared" si="3"/>
        <v>0</v>
      </c>
      <c r="I71">
        <f t="shared" si="4"/>
        <v>1</v>
      </c>
      <c r="J71">
        <f t="shared" si="5"/>
        <v>0</v>
      </c>
      <c r="K71">
        <v>7</v>
      </c>
      <c r="L71">
        <v>0.19700000000000001</v>
      </c>
      <c r="M71">
        <v>1.43</v>
      </c>
      <c r="N71">
        <v>0</v>
      </c>
      <c r="O71">
        <v>3.2</v>
      </c>
      <c r="P71">
        <v>605023.87</v>
      </c>
      <c r="Q71">
        <v>98545.81</v>
      </c>
    </row>
    <row r="72" spans="1:17">
      <c r="A72" t="s">
        <v>40</v>
      </c>
      <c r="B72" s="2">
        <v>45658</v>
      </c>
      <c r="C72" t="s">
        <v>15</v>
      </c>
      <c r="D72" t="s">
        <v>16</v>
      </c>
      <c r="E72">
        <v>46201.46</v>
      </c>
      <c r="F72">
        <v>5918</v>
      </c>
      <c r="G72">
        <v>78.8</v>
      </c>
      <c r="H72">
        <f t="shared" si="3"/>
        <v>0</v>
      </c>
      <c r="I72">
        <f t="shared" si="4"/>
        <v>0</v>
      </c>
      <c r="J72">
        <f t="shared" si="5"/>
        <v>1</v>
      </c>
      <c r="K72">
        <v>13</v>
      </c>
      <c r="L72">
        <v>0.27700000000000002</v>
      </c>
      <c r="M72">
        <v>4.91</v>
      </c>
      <c r="N72">
        <v>0</v>
      </c>
      <c r="O72">
        <v>4.5</v>
      </c>
      <c r="P72">
        <v>616069.41</v>
      </c>
      <c r="Q72">
        <v>54453.99</v>
      </c>
    </row>
    <row r="73" spans="1:17">
      <c r="A73" t="s">
        <v>40</v>
      </c>
      <c r="B73" s="2">
        <v>45689</v>
      </c>
      <c r="C73" t="s">
        <v>15</v>
      </c>
      <c r="D73" t="s">
        <v>16</v>
      </c>
      <c r="E73">
        <v>53762.92</v>
      </c>
      <c r="F73">
        <v>6821</v>
      </c>
      <c r="G73">
        <v>94.6</v>
      </c>
      <c r="H73">
        <f t="shared" si="3"/>
        <v>0</v>
      </c>
      <c r="I73">
        <f t="shared" si="4"/>
        <v>0</v>
      </c>
      <c r="J73">
        <f t="shared" si="5"/>
        <v>1</v>
      </c>
      <c r="K73">
        <v>19</v>
      </c>
      <c r="L73">
        <v>6.6000000000000003E-2</v>
      </c>
      <c r="M73">
        <v>7.03</v>
      </c>
      <c r="N73">
        <v>0</v>
      </c>
      <c r="O73">
        <v>4.4000000000000004</v>
      </c>
      <c r="P73">
        <v>630829.93999999994</v>
      </c>
      <c r="Q73">
        <v>117090.02</v>
      </c>
    </row>
    <row r="74" spans="1:17">
      <c r="A74" t="s">
        <v>40</v>
      </c>
      <c r="B74" s="2">
        <v>45717</v>
      </c>
      <c r="C74" t="s">
        <v>15</v>
      </c>
      <c r="D74" t="s">
        <v>16</v>
      </c>
      <c r="E74">
        <v>70144.78</v>
      </c>
      <c r="F74">
        <v>6806</v>
      </c>
      <c r="G74">
        <v>93.1</v>
      </c>
      <c r="H74">
        <f t="shared" si="3"/>
        <v>0</v>
      </c>
      <c r="I74">
        <f t="shared" si="4"/>
        <v>0</v>
      </c>
      <c r="J74">
        <f t="shared" si="5"/>
        <v>1</v>
      </c>
      <c r="K74">
        <v>20</v>
      </c>
      <c r="L74">
        <v>0.17799999999999999</v>
      </c>
      <c r="M74">
        <v>0.28000000000000003</v>
      </c>
      <c r="N74">
        <v>1</v>
      </c>
      <c r="O74">
        <v>4.3</v>
      </c>
      <c r="P74">
        <v>788087.68</v>
      </c>
      <c r="Q74">
        <v>116803.42</v>
      </c>
    </row>
    <row r="75" spans="1:17">
      <c r="A75" t="s">
        <v>40</v>
      </c>
      <c r="B75" s="2">
        <v>45748</v>
      </c>
      <c r="C75" t="s">
        <v>15</v>
      </c>
      <c r="D75" t="s">
        <v>16</v>
      </c>
      <c r="E75">
        <v>58749.63</v>
      </c>
      <c r="F75">
        <v>8252</v>
      </c>
      <c r="G75">
        <v>85.2</v>
      </c>
      <c r="H75">
        <f t="shared" si="3"/>
        <v>0</v>
      </c>
      <c r="I75">
        <f t="shared" si="4"/>
        <v>0</v>
      </c>
      <c r="J75">
        <f t="shared" si="5"/>
        <v>1</v>
      </c>
      <c r="K75">
        <v>20</v>
      </c>
      <c r="L75">
        <v>0.20300000000000001</v>
      </c>
      <c r="M75">
        <v>3.61</v>
      </c>
      <c r="N75">
        <v>0</v>
      </c>
      <c r="O75">
        <v>4.5</v>
      </c>
      <c r="P75">
        <v>680840.36</v>
      </c>
      <c r="Q75">
        <v>68007.679999999993</v>
      </c>
    </row>
    <row r="76" spans="1:17">
      <c r="A76" t="s">
        <v>41</v>
      </c>
      <c r="B76" s="2">
        <v>45658</v>
      </c>
      <c r="C76" t="s">
        <v>24</v>
      </c>
      <c r="D76" t="s">
        <v>18</v>
      </c>
      <c r="E76">
        <v>56973.18</v>
      </c>
      <c r="F76">
        <v>6662</v>
      </c>
      <c r="G76">
        <v>77.7</v>
      </c>
      <c r="H76">
        <f t="shared" si="3"/>
        <v>0</v>
      </c>
      <c r="I76">
        <f t="shared" si="4"/>
        <v>1</v>
      </c>
      <c r="J76">
        <f t="shared" si="5"/>
        <v>0</v>
      </c>
      <c r="K76">
        <v>15</v>
      </c>
      <c r="L76">
        <v>0.1</v>
      </c>
      <c r="M76">
        <v>7.52</v>
      </c>
      <c r="N76">
        <v>1</v>
      </c>
      <c r="O76">
        <v>3.2</v>
      </c>
      <c r="P76">
        <v>643657.47</v>
      </c>
      <c r="Q76">
        <v>87022.45</v>
      </c>
    </row>
    <row r="77" spans="1:17">
      <c r="A77" t="s">
        <v>41</v>
      </c>
      <c r="B77" s="2">
        <v>45689</v>
      </c>
      <c r="C77" t="s">
        <v>24</v>
      </c>
      <c r="D77" t="s">
        <v>18</v>
      </c>
      <c r="E77">
        <v>54872.82</v>
      </c>
      <c r="F77">
        <v>5962</v>
      </c>
      <c r="G77">
        <v>85.4</v>
      </c>
      <c r="H77">
        <f t="shared" si="3"/>
        <v>0</v>
      </c>
      <c r="I77">
        <f t="shared" si="4"/>
        <v>1</v>
      </c>
      <c r="J77">
        <f t="shared" si="5"/>
        <v>0</v>
      </c>
      <c r="K77">
        <v>12</v>
      </c>
      <c r="L77">
        <v>6.4000000000000001E-2</v>
      </c>
      <c r="M77">
        <v>2.58</v>
      </c>
      <c r="N77">
        <v>0</v>
      </c>
      <c r="O77">
        <v>2.9</v>
      </c>
      <c r="P77">
        <v>691112.6</v>
      </c>
      <c r="Q77">
        <v>109212.83</v>
      </c>
    </row>
    <row r="78" spans="1:17">
      <c r="A78" t="s">
        <v>41</v>
      </c>
      <c r="B78" s="2">
        <v>45717</v>
      </c>
      <c r="C78" t="s">
        <v>24</v>
      </c>
      <c r="D78" t="s">
        <v>18</v>
      </c>
      <c r="E78">
        <v>80562.81</v>
      </c>
      <c r="F78">
        <v>7470</v>
      </c>
      <c r="G78">
        <v>83.5</v>
      </c>
      <c r="H78">
        <f t="shared" si="3"/>
        <v>0</v>
      </c>
      <c r="I78">
        <f t="shared" si="4"/>
        <v>1</v>
      </c>
      <c r="J78">
        <f t="shared" si="5"/>
        <v>0</v>
      </c>
      <c r="K78">
        <v>16</v>
      </c>
      <c r="L78">
        <v>0.17199999999999999</v>
      </c>
      <c r="M78">
        <v>2.29</v>
      </c>
      <c r="N78">
        <v>0</v>
      </c>
      <c r="O78">
        <v>3.3</v>
      </c>
      <c r="P78">
        <v>776922.17</v>
      </c>
      <c r="Q78">
        <v>150701.93</v>
      </c>
    </row>
    <row r="79" spans="1:17">
      <c r="A79" t="s">
        <v>41</v>
      </c>
      <c r="B79" s="2">
        <v>45748</v>
      </c>
      <c r="C79" t="s">
        <v>24</v>
      </c>
      <c r="D79" t="s">
        <v>18</v>
      </c>
      <c r="E79">
        <v>77999.899999999994</v>
      </c>
      <c r="F79">
        <v>5974</v>
      </c>
      <c r="G79">
        <v>81.3</v>
      </c>
      <c r="H79">
        <f t="shared" si="3"/>
        <v>0</v>
      </c>
      <c r="I79">
        <f t="shared" si="4"/>
        <v>1</v>
      </c>
      <c r="J79">
        <f t="shared" si="5"/>
        <v>0</v>
      </c>
      <c r="K79">
        <v>14</v>
      </c>
      <c r="L79">
        <v>0.252</v>
      </c>
      <c r="M79">
        <v>2.39</v>
      </c>
      <c r="N79">
        <v>0</v>
      </c>
      <c r="O79">
        <v>3.2</v>
      </c>
      <c r="P79">
        <v>636561.34</v>
      </c>
      <c r="Q79">
        <v>93861.06</v>
      </c>
    </row>
    <row r="80" spans="1:17">
      <c r="A80" t="s">
        <v>42</v>
      </c>
      <c r="B80" s="2">
        <v>45658</v>
      </c>
      <c r="C80" t="s">
        <v>27</v>
      </c>
      <c r="D80" t="s">
        <v>28</v>
      </c>
      <c r="E80">
        <v>60881.01</v>
      </c>
      <c r="F80">
        <v>5410</v>
      </c>
      <c r="G80">
        <v>83.9</v>
      </c>
      <c r="H80">
        <f t="shared" si="3"/>
        <v>1</v>
      </c>
      <c r="I80">
        <f t="shared" si="4"/>
        <v>0</v>
      </c>
      <c r="J80">
        <f t="shared" si="5"/>
        <v>0</v>
      </c>
      <c r="K80">
        <v>15</v>
      </c>
      <c r="L80">
        <v>0.17899999999999999</v>
      </c>
      <c r="M80">
        <v>5.24</v>
      </c>
      <c r="N80">
        <v>0</v>
      </c>
      <c r="O80">
        <v>4.5999999999999996</v>
      </c>
      <c r="P80">
        <v>621369.57999999996</v>
      </c>
      <c r="Q80">
        <v>85493.64</v>
      </c>
    </row>
    <row r="81" spans="1:17">
      <c r="A81" t="s">
        <v>42</v>
      </c>
      <c r="B81" s="2">
        <v>45689</v>
      </c>
      <c r="C81" t="s">
        <v>27</v>
      </c>
      <c r="D81" t="s">
        <v>28</v>
      </c>
      <c r="E81">
        <v>60628.38</v>
      </c>
      <c r="F81">
        <v>4451</v>
      </c>
      <c r="G81">
        <v>89.6</v>
      </c>
      <c r="H81">
        <f t="shared" si="3"/>
        <v>1</v>
      </c>
      <c r="I81">
        <f t="shared" si="4"/>
        <v>0</v>
      </c>
      <c r="J81">
        <f t="shared" si="5"/>
        <v>0</v>
      </c>
      <c r="K81">
        <v>10</v>
      </c>
      <c r="L81">
        <v>9.5000000000000001E-2</v>
      </c>
      <c r="M81">
        <v>3.17</v>
      </c>
      <c r="N81">
        <v>0</v>
      </c>
      <c r="O81">
        <v>4.5999999999999996</v>
      </c>
      <c r="P81">
        <v>682208.01</v>
      </c>
      <c r="Q81">
        <v>110318.84</v>
      </c>
    </row>
    <row r="82" spans="1:17">
      <c r="A82" t="s">
        <v>42</v>
      </c>
      <c r="B82" s="2">
        <v>45717</v>
      </c>
      <c r="C82" t="s">
        <v>27</v>
      </c>
      <c r="D82" t="s">
        <v>28</v>
      </c>
      <c r="E82">
        <v>72731.14</v>
      </c>
      <c r="F82">
        <v>4644</v>
      </c>
      <c r="G82">
        <v>87.1</v>
      </c>
      <c r="H82">
        <f t="shared" si="3"/>
        <v>1</v>
      </c>
      <c r="I82">
        <f t="shared" si="4"/>
        <v>0</v>
      </c>
      <c r="J82">
        <f t="shared" si="5"/>
        <v>0</v>
      </c>
      <c r="K82">
        <v>15</v>
      </c>
      <c r="L82">
        <v>8.4000000000000005E-2</v>
      </c>
      <c r="M82">
        <v>2.66</v>
      </c>
      <c r="N82">
        <v>0</v>
      </c>
      <c r="O82">
        <v>4.5999999999999996</v>
      </c>
      <c r="P82">
        <v>727241.86</v>
      </c>
      <c r="Q82">
        <v>155810.29999999999</v>
      </c>
    </row>
    <row r="83" spans="1:17">
      <c r="A83" t="s">
        <v>42</v>
      </c>
      <c r="B83" s="2">
        <v>45748</v>
      </c>
      <c r="C83" t="s">
        <v>27</v>
      </c>
      <c r="D83" t="s">
        <v>28</v>
      </c>
      <c r="E83">
        <v>36475.71</v>
      </c>
      <c r="F83">
        <v>3559</v>
      </c>
      <c r="G83">
        <v>83.6</v>
      </c>
      <c r="H83">
        <f t="shared" si="3"/>
        <v>1</v>
      </c>
      <c r="I83">
        <f t="shared" si="4"/>
        <v>0</v>
      </c>
      <c r="J83">
        <f t="shared" si="5"/>
        <v>0</v>
      </c>
      <c r="K83">
        <v>8</v>
      </c>
      <c r="L83">
        <v>0.03</v>
      </c>
      <c r="M83">
        <v>1.41</v>
      </c>
      <c r="N83">
        <v>0</v>
      </c>
      <c r="O83">
        <v>4.2</v>
      </c>
      <c r="P83">
        <v>569100.78</v>
      </c>
      <c r="Q83">
        <v>104808.78</v>
      </c>
    </row>
    <row r="84" spans="1:17">
      <c r="A84" t="s">
        <v>43</v>
      </c>
      <c r="B84" s="2">
        <v>45658</v>
      </c>
      <c r="C84" t="s">
        <v>27</v>
      </c>
      <c r="D84" t="s">
        <v>18</v>
      </c>
      <c r="E84">
        <v>55388.11</v>
      </c>
      <c r="F84">
        <v>3091</v>
      </c>
      <c r="G84">
        <v>85.4</v>
      </c>
      <c r="H84">
        <f t="shared" si="3"/>
        <v>0</v>
      </c>
      <c r="I84">
        <f t="shared" si="4"/>
        <v>1</v>
      </c>
      <c r="J84">
        <f t="shared" si="5"/>
        <v>0</v>
      </c>
      <c r="K84">
        <v>7</v>
      </c>
      <c r="L84">
        <v>0.108</v>
      </c>
      <c r="M84">
        <v>7.34</v>
      </c>
      <c r="N84">
        <v>0</v>
      </c>
      <c r="O84">
        <v>4.9000000000000004</v>
      </c>
      <c r="P84">
        <v>574436.29</v>
      </c>
      <c r="Q84">
        <v>80271.990000000005</v>
      </c>
    </row>
    <row r="85" spans="1:17">
      <c r="A85" t="s">
        <v>43</v>
      </c>
      <c r="B85" s="2">
        <v>45717</v>
      </c>
      <c r="C85" t="s">
        <v>27</v>
      </c>
      <c r="D85" t="s">
        <v>18</v>
      </c>
      <c r="E85">
        <v>78231.91</v>
      </c>
      <c r="F85">
        <v>3788</v>
      </c>
      <c r="G85">
        <v>88.5</v>
      </c>
      <c r="H85">
        <f t="shared" si="3"/>
        <v>0</v>
      </c>
      <c r="I85">
        <f t="shared" si="4"/>
        <v>1</v>
      </c>
      <c r="J85">
        <f t="shared" si="5"/>
        <v>0</v>
      </c>
      <c r="K85">
        <v>11</v>
      </c>
      <c r="L85">
        <v>5.8999999999999997E-2</v>
      </c>
      <c r="M85">
        <v>15.51</v>
      </c>
      <c r="N85">
        <v>0</v>
      </c>
      <c r="O85">
        <v>4.3</v>
      </c>
      <c r="P85">
        <v>614596.31999999995</v>
      </c>
      <c r="Q85">
        <v>131199.41</v>
      </c>
    </row>
    <row r="86" spans="1:17">
      <c r="A86" t="s">
        <v>43</v>
      </c>
      <c r="B86" s="2">
        <v>45748</v>
      </c>
      <c r="C86" t="s">
        <v>27</v>
      </c>
      <c r="D86" t="s">
        <v>18</v>
      </c>
      <c r="E86">
        <v>18996.32</v>
      </c>
      <c r="F86">
        <v>1260</v>
      </c>
      <c r="G86">
        <v>86.4</v>
      </c>
      <c r="H86">
        <f t="shared" si="3"/>
        <v>0</v>
      </c>
      <c r="I86">
        <f t="shared" si="4"/>
        <v>1</v>
      </c>
      <c r="J86">
        <f t="shared" si="5"/>
        <v>0</v>
      </c>
      <c r="K86">
        <v>9</v>
      </c>
      <c r="L86">
        <v>0.14499999999999999</v>
      </c>
      <c r="M86">
        <v>4.3099999999999996</v>
      </c>
      <c r="N86">
        <v>0</v>
      </c>
      <c r="O86">
        <v>4.5999999999999996</v>
      </c>
      <c r="P86">
        <v>450711.92</v>
      </c>
      <c r="Q86">
        <v>90043.76</v>
      </c>
    </row>
    <row r="87" spans="1:17">
      <c r="A87" t="s">
        <v>44</v>
      </c>
      <c r="B87" s="2">
        <v>45658</v>
      </c>
      <c r="C87" t="s">
        <v>24</v>
      </c>
      <c r="D87" t="s">
        <v>28</v>
      </c>
      <c r="E87">
        <v>50517.94</v>
      </c>
      <c r="F87">
        <v>7024</v>
      </c>
      <c r="G87">
        <v>79.2</v>
      </c>
      <c r="H87">
        <f t="shared" si="3"/>
        <v>1</v>
      </c>
      <c r="I87">
        <f t="shared" si="4"/>
        <v>0</v>
      </c>
      <c r="J87">
        <f t="shared" si="5"/>
        <v>0</v>
      </c>
      <c r="K87">
        <v>18</v>
      </c>
      <c r="L87">
        <v>2.9000000000000001E-2</v>
      </c>
      <c r="M87">
        <v>6.61</v>
      </c>
      <c r="N87">
        <v>1</v>
      </c>
      <c r="O87">
        <v>4.0999999999999996</v>
      </c>
      <c r="P87">
        <v>711213.46</v>
      </c>
      <c r="Q87">
        <v>105863.26</v>
      </c>
    </row>
    <row r="88" spans="1:17">
      <c r="A88" t="s">
        <v>44</v>
      </c>
      <c r="B88" s="2">
        <v>45689</v>
      </c>
      <c r="C88" t="s">
        <v>24</v>
      </c>
      <c r="D88" t="s">
        <v>28</v>
      </c>
      <c r="E88">
        <v>141540.29</v>
      </c>
      <c r="F88">
        <v>5400</v>
      </c>
      <c r="G88">
        <v>87</v>
      </c>
      <c r="H88">
        <f t="shared" si="3"/>
        <v>1</v>
      </c>
      <c r="I88">
        <f t="shared" si="4"/>
        <v>0</v>
      </c>
      <c r="J88">
        <f t="shared" si="5"/>
        <v>0</v>
      </c>
      <c r="K88">
        <v>12</v>
      </c>
      <c r="L88">
        <v>1.2999999999999999E-2</v>
      </c>
      <c r="M88">
        <v>4.26</v>
      </c>
      <c r="N88">
        <v>0</v>
      </c>
      <c r="O88">
        <v>4.5</v>
      </c>
      <c r="P88">
        <v>627171.9</v>
      </c>
      <c r="Q88">
        <v>105772.75</v>
      </c>
    </row>
    <row r="89" spans="1:17">
      <c r="A89" t="s">
        <v>44</v>
      </c>
      <c r="B89" s="2">
        <v>45717</v>
      </c>
      <c r="C89" t="s">
        <v>24</v>
      </c>
      <c r="D89" t="s">
        <v>28</v>
      </c>
      <c r="E89">
        <v>82116.19</v>
      </c>
      <c r="F89">
        <v>5988</v>
      </c>
      <c r="G89">
        <v>91.8</v>
      </c>
      <c r="H89">
        <f t="shared" si="3"/>
        <v>1</v>
      </c>
      <c r="I89">
        <f t="shared" si="4"/>
        <v>0</v>
      </c>
      <c r="J89">
        <f t="shared" si="5"/>
        <v>0</v>
      </c>
      <c r="K89">
        <v>17</v>
      </c>
      <c r="L89">
        <v>0.04</v>
      </c>
      <c r="M89">
        <v>5.75</v>
      </c>
      <c r="N89">
        <v>0</v>
      </c>
      <c r="O89">
        <v>4.7</v>
      </c>
      <c r="P89">
        <v>739852.58</v>
      </c>
      <c r="Q89">
        <v>129386.43</v>
      </c>
    </row>
    <row r="90" spans="1:17">
      <c r="A90" t="s">
        <v>44</v>
      </c>
      <c r="B90" s="2">
        <v>45748</v>
      </c>
      <c r="C90" t="s">
        <v>24</v>
      </c>
      <c r="D90" t="s">
        <v>28</v>
      </c>
      <c r="E90">
        <v>31207.51</v>
      </c>
      <c r="F90">
        <v>3701</v>
      </c>
      <c r="G90">
        <v>84.7</v>
      </c>
      <c r="H90">
        <f t="shared" si="3"/>
        <v>1</v>
      </c>
      <c r="I90">
        <f t="shared" si="4"/>
        <v>0</v>
      </c>
      <c r="J90">
        <f t="shared" si="5"/>
        <v>0</v>
      </c>
      <c r="K90">
        <v>11</v>
      </c>
      <c r="L90">
        <v>4.2999999999999997E-2</v>
      </c>
      <c r="M90">
        <v>0.33</v>
      </c>
      <c r="N90">
        <v>0</v>
      </c>
      <c r="O90">
        <v>4.3</v>
      </c>
      <c r="P90">
        <v>586307.22</v>
      </c>
      <c r="Q90">
        <v>73927.850000000006</v>
      </c>
    </row>
    <row r="91" spans="1:17">
      <c r="A91" t="s">
        <v>45</v>
      </c>
      <c r="B91" s="2">
        <v>45658</v>
      </c>
      <c r="C91" t="s">
        <v>27</v>
      </c>
      <c r="D91" t="s">
        <v>16</v>
      </c>
      <c r="E91">
        <v>38966.589999999997</v>
      </c>
      <c r="F91">
        <v>4509</v>
      </c>
      <c r="G91">
        <v>91.1</v>
      </c>
      <c r="H91">
        <f t="shared" si="3"/>
        <v>0</v>
      </c>
      <c r="I91">
        <f t="shared" si="4"/>
        <v>0</v>
      </c>
      <c r="J91">
        <f t="shared" si="5"/>
        <v>1</v>
      </c>
      <c r="K91">
        <v>14</v>
      </c>
      <c r="L91">
        <v>0.19400000000000001</v>
      </c>
      <c r="M91">
        <v>2.92</v>
      </c>
      <c r="N91">
        <v>0</v>
      </c>
      <c r="O91">
        <v>4.5999999999999996</v>
      </c>
      <c r="P91">
        <v>585937.48</v>
      </c>
      <c r="Q91">
        <v>82624.2</v>
      </c>
    </row>
    <row r="92" spans="1:17">
      <c r="A92" t="s">
        <v>45</v>
      </c>
      <c r="B92" s="2">
        <v>45689</v>
      </c>
      <c r="C92" t="s">
        <v>27</v>
      </c>
      <c r="D92" t="s">
        <v>16</v>
      </c>
      <c r="E92">
        <v>67439.3</v>
      </c>
      <c r="F92">
        <v>6477</v>
      </c>
      <c r="G92">
        <v>90.9</v>
      </c>
      <c r="H92">
        <f t="shared" si="3"/>
        <v>0</v>
      </c>
      <c r="I92">
        <f t="shared" si="4"/>
        <v>0</v>
      </c>
      <c r="J92">
        <f t="shared" si="5"/>
        <v>1</v>
      </c>
      <c r="K92">
        <v>16</v>
      </c>
      <c r="L92">
        <v>0</v>
      </c>
      <c r="M92">
        <v>1.64</v>
      </c>
      <c r="N92">
        <v>0</v>
      </c>
      <c r="O92">
        <v>4.5</v>
      </c>
      <c r="P92">
        <v>753473.55</v>
      </c>
      <c r="Q92">
        <v>151527.22</v>
      </c>
    </row>
    <row r="93" spans="1:17">
      <c r="A93" t="s">
        <v>45</v>
      </c>
      <c r="B93" s="2">
        <v>45717</v>
      </c>
      <c r="C93" t="s">
        <v>27</v>
      </c>
      <c r="D93" t="s">
        <v>16</v>
      </c>
      <c r="E93">
        <v>86421.88</v>
      </c>
      <c r="F93">
        <v>7970</v>
      </c>
      <c r="G93">
        <v>91.3</v>
      </c>
      <c r="H93">
        <f t="shared" si="3"/>
        <v>0</v>
      </c>
      <c r="I93">
        <f t="shared" si="4"/>
        <v>0</v>
      </c>
      <c r="J93">
        <f t="shared" si="5"/>
        <v>1</v>
      </c>
      <c r="K93">
        <v>17</v>
      </c>
      <c r="L93">
        <v>7.2999999999999995E-2</v>
      </c>
      <c r="M93">
        <v>0.8</v>
      </c>
      <c r="N93">
        <v>0</v>
      </c>
      <c r="O93">
        <v>5</v>
      </c>
      <c r="P93">
        <v>838250.32</v>
      </c>
      <c r="Q93">
        <v>122939.34</v>
      </c>
    </row>
    <row r="94" spans="1:17">
      <c r="A94" t="s">
        <v>45</v>
      </c>
      <c r="B94" s="2">
        <v>45748</v>
      </c>
      <c r="C94" t="s">
        <v>27</v>
      </c>
      <c r="D94" t="s">
        <v>16</v>
      </c>
      <c r="E94">
        <v>9534.65</v>
      </c>
      <c r="F94">
        <v>6057</v>
      </c>
      <c r="G94">
        <v>94.1</v>
      </c>
      <c r="H94">
        <f t="shared" si="3"/>
        <v>0</v>
      </c>
      <c r="I94">
        <f t="shared" si="4"/>
        <v>0</v>
      </c>
      <c r="J94">
        <f t="shared" si="5"/>
        <v>1</v>
      </c>
      <c r="K94">
        <v>15</v>
      </c>
      <c r="L94">
        <v>7.3999999999999996E-2</v>
      </c>
      <c r="M94">
        <v>5.79</v>
      </c>
      <c r="N94">
        <v>0</v>
      </c>
      <c r="O94">
        <v>4.5</v>
      </c>
      <c r="P94">
        <v>607898.12</v>
      </c>
      <c r="Q94">
        <v>135404.85</v>
      </c>
    </row>
    <row r="95" spans="1:17">
      <c r="A95" t="s">
        <v>46</v>
      </c>
      <c r="B95" s="2">
        <v>45658</v>
      </c>
      <c r="C95" t="s">
        <v>27</v>
      </c>
      <c r="D95" t="s">
        <v>28</v>
      </c>
      <c r="E95">
        <v>61132.07</v>
      </c>
      <c r="F95">
        <v>6394</v>
      </c>
      <c r="G95">
        <v>91</v>
      </c>
      <c r="H95">
        <f t="shared" si="3"/>
        <v>1</v>
      </c>
      <c r="I95">
        <f t="shared" si="4"/>
        <v>0</v>
      </c>
      <c r="J95">
        <f t="shared" si="5"/>
        <v>0</v>
      </c>
      <c r="K95">
        <v>19</v>
      </c>
      <c r="L95">
        <v>0.16300000000000001</v>
      </c>
      <c r="M95">
        <v>19.600000000000001</v>
      </c>
      <c r="N95">
        <v>0</v>
      </c>
      <c r="O95">
        <v>4.4000000000000004</v>
      </c>
      <c r="P95">
        <v>691113.62</v>
      </c>
      <c r="Q95">
        <v>135145.44</v>
      </c>
    </row>
    <row r="96" spans="1:17">
      <c r="A96" t="s">
        <v>46</v>
      </c>
      <c r="B96" s="2">
        <v>45689</v>
      </c>
      <c r="C96" t="s">
        <v>27</v>
      </c>
      <c r="D96" t="s">
        <v>28</v>
      </c>
      <c r="E96">
        <v>78839.39</v>
      </c>
      <c r="F96">
        <v>5150</v>
      </c>
      <c r="G96">
        <v>85.8</v>
      </c>
      <c r="H96">
        <f t="shared" si="3"/>
        <v>1</v>
      </c>
      <c r="I96">
        <f t="shared" si="4"/>
        <v>0</v>
      </c>
      <c r="J96">
        <f t="shared" si="5"/>
        <v>0</v>
      </c>
      <c r="K96">
        <v>13</v>
      </c>
      <c r="L96">
        <v>0.17100000000000001</v>
      </c>
      <c r="M96">
        <v>7.57</v>
      </c>
      <c r="N96">
        <v>0</v>
      </c>
      <c r="O96">
        <v>4.3</v>
      </c>
      <c r="P96">
        <v>735509.4</v>
      </c>
      <c r="Q96">
        <v>83895.96</v>
      </c>
    </row>
    <row r="97" spans="1:17">
      <c r="A97" t="s">
        <v>46</v>
      </c>
      <c r="B97" s="2">
        <v>45748</v>
      </c>
      <c r="C97" t="s">
        <v>27</v>
      </c>
      <c r="D97" t="s">
        <v>28</v>
      </c>
      <c r="E97">
        <v>55101.1</v>
      </c>
      <c r="F97">
        <v>5281</v>
      </c>
      <c r="G97">
        <v>91</v>
      </c>
      <c r="H97">
        <f t="shared" si="3"/>
        <v>1</v>
      </c>
      <c r="I97">
        <f t="shared" si="4"/>
        <v>0</v>
      </c>
      <c r="J97">
        <f t="shared" si="5"/>
        <v>0</v>
      </c>
      <c r="K97">
        <v>11</v>
      </c>
      <c r="L97">
        <v>0.189</v>
      </c>
      <c r="M97">
        <v>2.7</v>
      </c>
      <c r="N97">
        <v>0</v>
      </c>
      <c r="O97">
        <v>4.4000000000000004</v>
      </c>
      <c r="P97">
        <v>675177.68</v>
      </c>
      <c r="Q97">
        <v>105628.68</v>
      </c>
    </row>
    <row r="98" spans="1:17">
      <c r="A98" t="s">
        <v>47</v>
      </c>
      <c r="B98" s="2">
        <v>45658</v>
      </c>
      <c r="C98" t="s">
        <v>15</v>
      </c>
      <c r="D98" t="s">
        <v>28</v>
      </c>
      <c r="E98">
        <v>53084.76</v>
      </c>
      <c r="F98">
        <v>3642</v>
      </c>
      <c r="G98">
        <v>91.4</v>
      </c>
      <c r="H98">
        <f t="shared" si="3"/>
        <v>1</v>
      </c>
      <c r="I98">
        <f t="shared" si="4"/>
        <v>0</v>
      </c>
      <c r="J98">
        <f t="shared" si="5"/>
        <v>0</v>
      </c>
      <c r="K98">
        <v>12</v>
      </c>
      <c r="L98">
        <v>0.15</v>
      </c>
      <c r="M98">
        <v>0.2</v>
      </c>
      <c r="N98">
        <v>0</v>
      </c>
      <c r="O98">
        <v>4.4000000000000004</v>
      </c>
      <c r="P98">
        <v>635181.35</v>
      </c>
      <c r="Q98">
        <v>83341.25</v>
      </c>
    </row>
    <row r="99" spans="1:17">
      <c r="A99" t="s">
        <v>47</v>
      </c>
      <c r="B99" s="2">
        <v>45689</v>
      </c>
      <c r="C99" t="s">
        <v>15</v>
      </c>
      <c r="D99" t="s">
        <v>28</v>
      </c>
      <c r="E99">
        <v>63101.59</v>
      </c>
      <c r="F99">
        <v>4373</v>
      </c>
      <c r="G99">
        <v>90.4</v>
      </c>
      <c r="H99">
        <f t="shared" si="3"/>
        <v>1</v>
      </c>
      <c r="I99">
        <f t="shared" si="4"/>
        <v>0</v>
      </c>
      <c r="J99">
        <f t="shared" si="5"/>
        <v>0</v>
      </c>
      <c r="K99">
        <v>14</v>
      </c>
      <c r="L99">
        <v>0.17299999999999999</v>
      </c>
      <c r="M99">
        <v>7.87</v>
      </c>
      <c r="N99">
        <v>0</v>
      </c>
      <c r="O99">
        <v>4.7</v>
      </c>
      <c r="P99">
        <v>586626.93999999994</v>
      </c>
      <c r="Q99">
        <v>86498.55</v>
      </c>
    </row>
    <row r="100" spans="1:17">
      <c r="A100" t="s">
        <v>47</v>
      </c>
      <c r="B100" s="2">
        <v>45717</v>
      </c>
      <c r="C100" t="s">
        <v>15</v>
      </c>
      <c r="D100" t="s">
        <v>28</v>
      </c>
      <c r="E100">
        <v>90084.4</v>
      </c>
      <c r="F100">
        <v>6832</v>
      </c>
      <c r="G100">
        <v>80.5</v>
      </c>
      <c r="H100">
        <f t="shared" si="3"/>
        <v>1</v>
      </c>
      <c r="I100">
        <f t="shared" si="4"/>
        <v>0</v>
      </c>
      <c r="J100">
        <f t="shared" si="5"/>
        <v>0</v>
      </c>
      <c r="K100">
        <v>14</v>
      </c>
      <c r="L100">
        <v>0.185</v>
      </c>
      <c r="M100">
        <v>0.77</v>
      </c>
      <c r="N100">
        <v>1</v>
      </c>
      <c r="O100">
        <v>4.4000000000000004</v>
      </c>
      <c r="P100">
        <v>740102.64</v>
      </c>
      <c r="Q100">
        <v>114299.07</v>
      </c>
    </row>
    <row r="101" spans="1:17">
      <c r="A101" t="s">
        <v>47</v>
      </c>
      <c r="B101" s="2">
        <v>45748</v>
      </c>
      <c r="C101" t="s">
        <v>15</v>
      </c>
      <c r="D101" t="s">
        <v>28</v>
      </c>
      <c r="E101">
        <v>32266.639999999999</v>
      </c>
      <c r="F101">
        <v>2414</v>
      </c>
      <c r="G101">
        <v>92.1</v>
      </c>
      <c r="H101">
        <f t="shared" si="3"/>
        <v>1</v>
      </c>
      <c r="I101">
        <f t="shared" si="4"/>
        <v>0</v>
      </c>
      <c r="J101">
        <f t="shared" si="5"/>
        <v>0</v>
      </c>
      <c r="K101">
        <v>7</v>
      </c>
      <c r="L101">
        <v>0.08</v>
      </c>
      <c r="M101">
        <v>1.48</v>
      </c>
      <c r="N101">
        <v>0</v>
      </c>
      <c r="O101">
        <v>5</v>
      </c>
      <c r="P101">
        <v>625514.04</v>
      </c>
      <c r="Q101">
        <v>120685.08</v>
      </c>
    </row>
    <row r="102" spans="1:17">
      <c r="A102" t="s">
        <v>48</v>
      </c>
      <c r="B102" s="2">
        <v>45658</v>
      </c>
      <c r="C102" t="s">
        <v>27</v>
      </c>
      <c r="D102" t="s">
        <v>18</v>
      </c>
      <c r="E102">
        <v>57919.07</v>
      </c>
      <c r="F102">
        <v>7374</v>
      </c>
      <c r="G102">
        <v>82.3</v>
      </c>
      <c r="H102">
        <f t="shared" si="3"/>
        <v>0</v>
      </c>
      <c r="I102">
        <f t="shared" si="4"/>
        <v>1</v>
      </c>
      <c r="J102">
        <f t="shared" si="5"/>
        <v>0</v>
      </c>
      <c r="K102">
        <v>21</v>
      </c>
      <c r="L102">
        <v>0.10299999999999999</v>
      </c>
      <c r="M102">
        <v>2.87</v>
      </c>
      <c r="N102">
        <v>0</v>
      </c>
      <c r="O102">
        <v>2.9</v>
      </c>
      <c r="P102">
        <v>727227.2</v>
      </c>
      <c r="Q102">
        <v>121292.01</v>
      </c>
    </row>
    <row r="103" spans="1:17">
      <c r="A103" t="s">
        <v>48</v>
      </c>
      <c r="B103" s="2">
        <v>45689</v>
      </c>
      <c r="C103" t="s">
        <v>27</v>
      </c>
      <c r="D103" t="s">
        <v>18</v>
      </c>
      <c r="E103">
        <v>74679.350000000006</v>
      </c>
      <c r="F103">
        <v>8739</v>
      </c>
      <c r="G103">
        <v>91.8</v>
      </c>
      <c r="H103">
        <f t="shared" si="3"/>
        <v>0</v>
      </c>
      <c r="I103">
        <f t="shared" si="4"/>
        <v>1</v>
      </c>
      <c r="J103">
        <f t="shared" si="5"/>
        <v>0</v>
      </c>
      <c r="K103">
        <v>21</v>
      </c>
      <c r="L103">
        <v>5.6000000000000001E-2</v>
      </c>
      <c r="M103">
        <v>2.83</v>
      </c>
      <c r="N103">
        <v>0</v>
      </c>
      <c r="O103">
        <v>3</v>
      </c>
      <c r="P103">
        <v>783797.89</v>
      </c>
      <c r="Q103">
        <v>157620.70000000001</v>
      </c>
    </row>
    <row r="104" spans="1:17">
      <c r="A104" t="s">
        <v>48</v>
      </c>
      <c r="B104" s="2">
        <v>45717</v>
      </c>
      <c r="C104" t="s">
        <v>27</v>
      </c>
      <c r="D104" t="s">
        <v>18</v>
      </c>
      <c r="E104">
        <v>64294.23</v>
      </c>
      <c r="F104">
        <v>6992</v>
      </c>
      <c r="G104">
        <v>94.1</v>
      </c>
      <c r="H104">
        <f t="shared" si="3"/>
        <v>0</v>
      </c>
      <c r="I104">
        <f t="shared" si="4"/>
        <v>1</v>
      </c>
      <c r="J104">
        <f t="shared" si="5"/>
        <v>0</v>
      </c>
      <c r="K104">
        <v>14</v>
      </c>
      <c r="L104">
        <v>0.13300000000000001</v>
      </c>
      <c r="M104">
        <v>0.25</v>
      </c>
      <c r="N104">
        <v>0</v>
      </c>
      <c r="O104">
        <v>3</v>
      </c>
      <c r="P104">
        <v>795153.84</v>
      </c>
      <c r="Q104">
        <v>143194.21</v>
      </c>
    </row>
    <row r="105" spans="1:17">
      <c r="A105" t="s">
        <v>48</v>
      </c>
      <c r="B105" s="2">
        <v>45748</v>
      </c>
      <c r="C105" t="s">
        <v>27</v>
      </c>
      <c r="D105" t="s">
        <v>18</v>
      </c>
      <c r="E105">
        <v>31042.03</v>
      </c>
      <c r="F105">
        <v>7107</v>
      </c>
      <c r="G105">
        <v>87</v>
      </c>
      <c r="H105">
        <f t="shared" si="3"/>
        <v>0</v>
      </c>
      <c r="I105">
        <f t="shared" si="4"/>
        <v>1</v>
      </c>
      <c r="J105">
        <f t="shared" si="5"/>
        <v>0</v>
      </c>
      <c r="K105">
        <v>15</v>
      </c>
      <c r="L105">
        <v>5.0999999999999997E-2</v>
      </c>
      <c r="M105">
        <v>13.33</v>
      </c>
      <c r="N105">
        <v>0</v>
      </c>
      <c r="O105">
        <v>3.2</v>
      </c>
      <c r="P105">
        <v>665594.93999999994</v>
      </c>
      <c r="Q105">
        <v>127597.34</v>
      </c>
    </row>
    <row r="106" spans="1:17">
      <c r="A106" t="s">
        <v>49</v>
      </c>
      <c r="B106" s="2">
        <v>45658</v>
      </c>
      <c r="C106" t="s">
        <v>15</v>
      </c>
      <c r="D106" t="s">
        <v>28</v>
      </c>
      <c r="E106">
        <v>75265.02</v>
      </c>
      <c r="F106">
        <v>6975</v>
      </c>
      <c r="G106">
        <v>73.8</v>
      </c>
      <c r="H106">
        <f t="shared" si="3"/>
        <v>1</v>
      </c>
      <c r="I106">
        <f t="shared" si="4"/>
        <v>0</v>
      </c>
      <c r="J106">
        <f t="shared" si="5"/>
        <v>0</v>
      </c>
      <c r="K106">
        <v>20</v>
      </c>
      <c r="L106">
        <v>0.157</v>
      </c>
      <c r="M106">
        <v>6.35</v>
      </c>
      <c r="N106">
        <v>1</v>
      </c>
      <c r="O106">
        <v>3.8</v>
      </c>
      <c r="P106">
        <v>709478.39</v>
      </c>
      <c r="Q106">
        <v>71294.27</v>
      </c>
    </row>
    <row r="107" spans="1:17">
      <c r="A107" t="s">
        <v>49</v>
      </c>
      <c r="B107" s="2">
        <v>45689</v>
      </c>
      <c r="C107" t="s">
        <v>15</v>
      </c>
      <c r="D107" t="s">
        <v>28</v>
      </c>
      <c r="E107">
        <v>69411.7</v>
      </c>
      <c r="F107">
        <v>5493</v>
      </c>
      <c r="G107">
        <v>86.5</v>
      </c>
      <c r="H107">
        <f t="shared" si="3"/>
        <v>1</v>
      </c>
      <c r="I107">
        <f t="shared" si="4"/>
        <v>0</v>
      </c>
      <c r="J107">
        <f t="shared" si="5"/>
        <v>0</v>
      </c>
      <c r="K107">
        <v>13</v>
      </c>
      <c r="L107">
        <v>0.29199999999999998</v>
      </c>
      <c r="M107">
        <v>6.69</v>
      </c>
      <c r="N107">
        <v>0</v>
      </c>
      <c r="O107">
        <v>3.8</v>
      </c>
      <c r="P107">
        <v>664162.49</v>
      </c>
      <c r="Q107">
        <v>98291.06</v>
      </c>
    </row>
    <row r="108" spans="1:17">
      <c r="A108" t="s">
        <v>49</v>
      </c>
      <c r="B108" s="2">
        <v>45717</v>
      </c>
      <c r="C108" t="s">
        <v>15</v>
      </c>
      <c r="D108" t="s">
        <v>28</v>
      </c>
      <c r="E108">
        <v>51056.15</v>
      </c>
      <c r="F108">
        <v>5686</v>
      </c>
      <c r="G108">
        <v>89.9</v>
      </c>
      <c r="H108">
        <f t="shared" si="3"/>
        <v>1</v>
      </c>
      <c r="I108">
        <f t="shared" si="4"/>
        <v>0</v>
      </c>
      <c r="J108">
        <f t="shared" si="5"/>
        <v>0</v>
      </c>
      <c r="K108">
        <v>13</v>
      </c>
      <c r="L108">
        <v>8.8999999999999996E-2</v>
      </c>
      <c r="M108">
        <v>1.28</v>
      </c>
      <c r="N108">
        <v>0</v>
      </c>
      <c r="O108">
        <v>4.2</v>
      </c>
      <c r="P108">
        <v>633494.21</v>
      </c>
      <c r="Q108">
        <v>105739.47</v>
      </c>
    </row>
    <row r="109" spans="1:17">
      <c r="A109" t="s">
        <v>49</v>
      </c>
      <c r="B109" s="2">
        <v>45748</v>
      </c>
      <c r="C109" t="s">
        <v>15</v>
      </c>
      <c r="D109" t="s">
        <v>28</v>
      </c>
      <c r="E109">
        <v>52758.01</v>
      </c>
      <c r="F109">
        <v>4063</v>
      </c>
      <c r="G109">
        <v>91.7</v>
      </c>
      <c r="H109">
        <f t="shared" si="3"/>
        <v>1</v>
      </c>
      <c r="I109">
        <f t="shared" si="4"/>
        <v>0</v>
      </c>
      <c r="J109">
        <f t="shared" si="5"/>
        <v>0</v>
      </c>
      <c r="K109">
        <v>12</v>
      </c>
      <c r="L109">
        <v>5.7000000000000002E-2</v>
      </c>
      <c r="M109">
        <v>0.92</v>
      </c>
      <c r="N109">
        <v>0</v>
      </c>
      <c r="O109">
        <v>3.5</v>
      </c>
      <c r="P109">
        <v>713611.16</v>
      </c>
      <c r="Q109">
        <v>129717.18</v>
      </c>
    </row>
    <row r="110" spans="1:17">
      <c r="A110" t="s">
        <v>50</v>
      </c>
      <c r="B110" s="2">
        <v>45658</v>
      </c>
      <c r="C110" t="s">
        <v>27</v>
      </c>
      <c r="D110" t="s">
        <v>28</v>
      </c>
      <c r="E110">
        <v>61426.04</v>
      </c>
      <c r="F110">
        <v>8966</v>
      </c>
      <c r="G110">
        <v>76.400000000000006</v>
      </c>
      <c r="H110">
        <f t="shared" si="3"/>
        <v>1</v>
      </c>
      <c r="I110">
        <f t="shared" si="4"/>
        <v>0</v>
      </c>
      <c r="J110">
        <f t="shared" si="5"/>
        <v>0</v>
      </c>
      <c r="K110">
        <v>22</v>
      </c>
      <c r="L110">
        <v>0.17299999999999999</v>
      </c>
      <c r="M110">
        <v>1.05</v>
      </c>
      <c r="N110">
        <v>0</v>
      </c>
      <c r="O110">
        <v>3.1</v>
      </c>
      <c r="P110">
        <v>778397.97</v>
      </c>
      <c r="Q110">
        <v>120044.41</v>
      </c>
    </row>
    <row r="111" spans="1:17">
      <c r="A111" t="s">
        <v>50</v>
      </c>
      <c r="B111" s="2">
        <v>45689</v>
      </c>
      <c r="C111" t="s">
        <v>27</v>
      </c>
      <c r="D111" t="s">
        <v>28</v>
      </c>
      <c r="E111">
        <v>80176.34</v>
      </c>
      <c r="F111">
        <v>9489</v>
      </c>
      <c r="G111">
        <v>94.3</v>
      </c>
      <c r="H111">
        <f t="shared" si="3"/>
        <v>1</v>
      </c>
      <c r="I111">
        <f t="shared" si="4"/>
        <v>0</v>
      </c>
      <c r="J111">
        <f t="shared" si="5"/>
        <v>0</v>
      </c>
      <c r="K111">
        <v>22</v>
      </c>
      <c r="L111">
        <v>0.14199999999999999</v>
      </c>
      <c r="M111">
        <v>2.67</v>
      </c>
      <c r="N111">
        <v>0</v>
      </c>
      <c r="O111">
        <v>3.5</v>
      </c>
      <c r="P111">
        <v>873380.02</v>
      </c>
      <c r="Q111">
        <v>149734.76</v>
      </c>
    </row>
    <row r="112" spans="1:17">
      <c r="A112" t="s">
        <v>50</v>
      </c>
      <c r="B112" s="2">
        <v>45717</v>
      </c>
      <c r="C112" t="s">
        <v>27</v>
      </c>
      <c r="D112" t="s">
        <v>28</v>
      </c>
      <c r="E112">
        <v>33605.18</v>
      </c>
      <c r="F112">
        <v>9225</v>
      </c>
      <c r="G112">
        <v>88.4</v>
      </c>
      <c r="H112">
        <f t="shared" si="3"/>
        <v>1</v>
      </c>
      <c r="I112">
        <f t="shared" si="4"/>
        <v>0</v>
      </c>
      <c r="J112">
        <f t="shared" si="5"/>
        <v>0</v>
      </c>
      <c r="K112">
        <v>23</v>
      </c>
      <c r="L112">
        <v>0.159</v>
      </c>
      <c r="M112">
        <v>5.91</v>
      </c>
      <c r="N112">
        <v>0</v>
      </c>
      <c r="O112">
        <v>2.8</v>
      </c>
      <c r="P112">
        <v>697287.9</v>
      </c>
      <c r="Q112">
        <v>128208.33</v>
      </c>
    </row>
    <row r="113" spans="1:17">
      <c r="A113" t="s">
        <v>50</v>
      </c>
      <c r="B113" s="2">
        <v>45748</v>
      </c>
      <c r="C113" t="s">
        <v>27</v>
      </c>
      <c r="D113" t="s">
        <v>28</v>
      </c>
      <c r="E113">
        <v>25990.54</v>
      </c>
      <c r="F113">
        <v>9249</v>
      </c>
      <c r="G113">
        <v>92.5</v>
      </c>
      <c r="H113">
        <f t="shared" si="3"/>
        <v>1</v>
      </c>
      <c r="I113">
        <f t="shared" si="4"/>
        <v>0</v>
      </c>
      <c r="J113">
        <f t="shared" si="5"/>
        <v>0</v>
      </c>
      <c r="K113">
        <v>23</v>
      </c>
      <c r="L113">
        <v>0.13900000000000001</v>
      </c>
      <c r="M113">
        <v>6.37</v>
      </c>
      <c r="N113">
        <v>0</v>
      </c>
      <c r="O113">
        <v>3.3</v>
      </c>
      <c r="P113">
        <v>718074.79</v>
      </c>
      <c r="Q113">
        <v>115819.87</v>
      </c>
    </row>
    <row r="114" spans="1:17">
      <c r="A114" t="s">
        <v>51</v>
      </c>
      <c r="B114" s="2">
        <v>45658</v>
      </c>
      <c r="C114" t="s">
        <v>27</v>
      </c>
      <c r="D114" t="s">
        <v>16</v>
      </c>
      <c r="E114">
        <v>43685.14</v>
      </c>
      <c r="F114">
        <v>7821</v>
      </c>
      <c r="G114">
        <v>91</v>
      </c>
      <c r="H114">
        <f t="shared" si="3"/>
        <v>0</v>
      </c>
      <c r="I114">
        <f t="shared" si="4"/>
        <v>0</v>
      </c>
      <c r="J114">
        <f t="shared" si="5"/>
        <v>1</v>
      </c>
      <c r="K114">
        <v>17</v>
      </c>
      <c r="L114">
        <v>0.19</v>
      </c>
      <c r="M114">
        <v>2.4900000000000002</v>
      </c>
      <c r="N114">
        <v>1</v>
      </c>
      <c r="O114">
        <v>4.7</v>
      </c>
      <c r="P114">
        <v>714942.43</v>
      </c>
      <c r="Q114">
        <v>94697.71</v>
      </c>
    </row>
    <row r="115" spans="1:17">
      <c r="A115" t="s">
        <v>51</v>
      </c>
      <c r="B115" s="2">
        <v>45689</v>
      </c>
      <c r="C115" t="s">
        <v>27</v>
      </c>
      <c r="D115" t="s">
        <v>16</v>
      </c>
      <c r="E115">
        <v>57360.01</v>
      </c>
      <c r="F115">
        <v>8434</v>
      </c>
      <c r="G115">
        <v>84.1</v>
      </c>
      <c r="H115">
        <f t="shared" si="3"/>
        <v>0</v>
      </c>
      <c r="I115">
        <f t="shared" si="4"/>
        <v>0</v>
      </c>
      <c r="J115">
        <f t="shared" si="5"/>
        <v>1</v>
      </c>
      <c r="K115">
        <v>19</v>
      </c>
      <c r="L115">
        <v>0.151</v>
      </c>
      <c r="M115">
        <v>1.56</v>
      </c>
      <c r="N115">
        <v>0</v>
      </c>
      <c r="O115">
        <v>4.7</v>
      </c>
      <c r="P115">
        <v>820519.04</v>
      </c>
      <c r="Q115">
        <v>99035.88</v>
      </c>
    </row>
    <row r="116" spans="1:17">
      <c r="A116" t="s">
        <v>51</v>
      </c>
      <c r="B116" s="2">
        <v>45717</v>
      </c>
      <c r="C116" t="s">
        <v>27</v>
      </c>
      <c r="D116" t="s">
        <v>16</v>
      </c>
      <c r="E116">
        <v>42415.47</v>
      </c>
      <c r="F116">
        <v>8512</v>
      </c>
      <c r="G116">
        <v>96.8</v>
      </c>
      <c r="H116">
        <f t="shared" si="3"/>
        <v>0</v>
      </c>
      <c r="I116">
        <f t="shared" si="4"/>
        <v>0</v>
      </c>
      <c r="J116">
        <f t="shared" si="5"/>
        <v>1</v>
      </c>
      <c r="K116">
        <v>18</v>
      </c>
      <c r="L116">
        <v>0.13300000000000001</v>
      </c>
      <c r="M116">
        <v>14.95</v>
      </c>
      <c r="N116">
        <v>0</v>
      </c>
      <c r="O116">
        <v>4.5999999999999996</v>
      </c>
      <c r="P116">
        <v>684217.32</v>
      </c>
      <c r="Q116">
        <v>136217.19</v>
      </c>
    </row>
    <row r="117" spans="1:17">
      <c r="A117" t="s">
        <v>51</v>
      </c>
      <c r="B117" s="2">
        <v>45748</v>
      </c>
      <c r="C117" t="s">
        <v>27</v>
      </c>
      <c r="D117" t="s">
        <v>16</v>
      </c>
      <c r="E117">
        <v>54968.98</v>
      </c>
      <c r="F117">
        <v>7816</v>
      </c>
      <c r="G117">
        <v>95.7</v>
      </c>
      <c r="H117">
        <f t="shared" si="3"/>
        <v>0</v>
      </c>
      <c r="I117">
        <f t="shared" si="4"/>
        <v>0</v>
      </c>
      <c r="J117">
        <f t="shared" si="5"/>
        <v>1</v>
      </c>
      <c r="K117">
        <v>19</v>
      </c>
      <c r="L117">
        <v>0.23200000000000001</v>
      </c>
      <c r="M117">
        <v>7.85</v>
      </c>
      <c r="N117">
        <v>0</v>
      </c>
      <c r="O117">
        <v>4.7</v>
      </c>
      <c r="P117">
        <v>735480.19</v>
      </c>
      <c r="Q117">
        <v>88342.11</v>
      </c>
    </row>
    <row r="118" spans="1:17">
      <c r="A118" t="s">
        <v>52</v>
      </c>
      <c r="B118" s="2">
        <v>45658</v>
      </c>
      <c r="C118" t="s">
        <v>20</v>
      </c>
      <c r="D118" t="s">
        <v>18</v>
      </c>
      <c r="E118">
        <v>43896.13</v>
      </c>
      <c r="F118">
        <v>3853</v>
      </c>
      <c r="G118">
        <v>83</v>
      </c>
      <c r="H118">
        <f t="shared" si="3"/>
        <v>0</v>
      </c>
      <c r="I118">
        <f t="shared" si="4"/>
        <v>1</v>
      </c>
      <c r="J118">
        <f t="shared" si="5"/>
        <v>0</v>
      </c>
      <c r="K118">
        <v>13</v>
      </c>
      <c r="L118">
        <v>8.7999999999999995E-2</v>
      </c>
      <c r="M118">
        <v>6.8</v>
      </c>
      <c r="N118">
        <v>0</v>
      </c>
      <c r="O118">
        <v>4.4000000000000004</v>
      </c>
      <c r="P118">
        <v>509484.81</v>
      </c>
      <c r="Q118">
        <v>85742.36</v>
      </c>
    </row>
    <row r="119" spans="1:17">
      <c r="A119" t="s">
        <v>52</v>
      </c>
      <c r="B119" s="2">
        <v>45689</v>
      </c>
      <c r="C119" t="s">
        <v>20</v>
      </c>
      <c r="D119" t="s">
        <v>18</v>
      </c>
      <c r="E119">
        <v>83044.17</v>
      </c>
      <c r="F119">
        <v>3694</v>
      </c>
      <c r="G119">
        <v>89.4</v>
      </c>
      <c r="H119">
        <f t="shared" si="3"/>
        <v>0</v>
      </c>
      <c r="I119">
        <f t="shared" si="4"/>
        <v>1</v>
      </c>
      <c r="J119">
        <f t="shared" si="5"/>
        <v>0</v>
      </c>
      <c r="K119">
        <v>14</v>
      </c>
      <c r="L119">
        <v>0</v>
      </c>
      <c r="M119">
        <v>2.2000000000000002</v>
      </c>
      <c r="N119">
        <v>0</v>
      </c>
      <c r="O119">
        <v>3.7</v>
      </c>
      <c r="P119">
        <v>654317.09</v>
      </c>
      <c r="Q119">
        <v>121446.89</v>
      </c>
    </row>
    <row r="120" spans="1:17">
      <c r="A120" t="s">
        <v>52</v>
      </c>
      <c r="B120" s="2">
        <v>45717</v>
      </c>
      <c r="C120" t="s">
        <v>20</v>
      </c>
      <c r="D120" t="s">
        <v>18</v>
      </c>
      <c r="E120">
        <v>48396.13</v>
      </c>
      <c r="F120">
        <v>4423</v>
      </c>
      <c r="G120">
        <v>85.7</v>
      </c>
      <c r="H120">
        <f t="shared" si="3"/>
        <v>0</v>
      </c>
      <c r="I120">
        <f t="shared" si="4"/>
        <v>1</v>
      </c>
      <c r="J120">
        <f t="shared" si="5"/>
        <v>0</v>
      </c>
      <c r="K120">
        <v>15</v>
      </c>
      <c r="L120">
        <v>6.9000000000000006E-2</v>
      </c>
      <c r="M120">
        <v>1.88</v>
      </c>
      <c r="N120">
        <v>0</v>
      </c>
      <c r="O120">
        <v>3.9</v>
      </c>
      <c r="P120">
        <v>557487.26</v>
      </c>
      <c r="Q120">
        <v>76432.19</v>
      </c>
    </row>
    <row r="121" spans="1:17">
      <c r="A121" t="s">
        <v>52</v>
      </c>
      <c r="B121" s="2">
        <v>45748</v>
      </c>
      <c r="C121" t="s">
        <v>20</v>
      </c>
      <c r="D121" t="s">
        <v>18</v>
      </c>
      <c r="E121">
        <v>19063.48</v>
      </c>
      <c r="F121">
        <v>1906</v>
      </c>
      <c r="G121">
        <v>97.8</v>
      </c>
      <c r="H121">
        <f t="shared" si="3"/>
        <v>0</v>
      </c>
      <c r="I121">
        <f t="shared" si="4"/>
        <v>1</v>
      </c>
      <c r="J121">
        <f t="shared" si="5"/>
        <v>0</v>
      </c>
      <c r="K121">
        <v>10</v>
      </c>
      <c r="L121">
        <v>0.216</v>
      </c>
      <c r="M121">
        <v>15.79</v>
      </c>
      <c r="N121">
        <v>0</v>
      </c>
      <c r="O121">
        <v>4.4000000000000004</v>
      </c>
      <c r="P121">
        <v>441275.42</v>
      </c>
      <c r="Q121">
        <v>58234.87</v>
      </c>
    </row>
    <row r="122" spans="1:17">
      <c r="A122" t="s">
        <v>53</v>
      </c>
      <c r="B122" s="2">
        <v>45658</v>
      </c>
      <c r="C122" t="s">
        <v>24</v>
      </c>
      <c r="D122" t="s">
        <v>18</v>
      </c>
      <c r="E122">
        <v>61541.21</v>
      </c>
      <c r="F122">
        <v>10396</v>
      </c>
      <c r="G122">
        <v>88.1</v>
      </c>
      <c r="H122">
        <f t="shared" si="3"/>
        <v>0</v>
      </c>
      <c r="I122">
        <f t="shared" si="4"/>
        <v>1</v>
      </c>
      <c r="J122">
        <f t="shared" si="5"/>
        <v>0</v>
      </c>
      <c r="K122">
        <v>25</v>
      </c>
      <c r="L122">
        <v>0.123</v>
      </c>
      <c r="M122">
        <v>2.34</v>
      </c>
      <c r="N122">
        <v>1</v>
      </c>
      <c r="O122">
        <v>4.8</v>
      </c>
      <c r="P122">
        <v>914544.17</v>
      </c>
      <c r="Q122">
        <v>79831.73</v>
      </c>
    </row>
    <row r="123" spans="1:17">
      <c r="A123" t="s">
        <v>53</v>
      </c>
      <c r="B123" s="2">
        <v>45689</v>
      </c>
      <c r="C123" t="s">
        <v>24</v>
      </c>
      <c r="D123" t="s">
        <v>18</v>
      </c>
      <c r="E123">
        <v>44747</v>
      </c>
      <c r="F123">
        <v>11076</v>
      </c>
      <c r="G123">
        <v>98.3</v>
      </c>
      <c r="H123">
        <f t="shared" si="3"/>
        <v>0</v>
      </c>
      <c r="I123">
        <f t="shared" si="4"/>
        <v>1</v>
      </c>
      <c r="J123">
        <f t="shared" si="5"/>
        <v>0</v>
      </c>
      <c r="K123">
        <v>27</v>
      </c>
      <c r="L123">
        <v>0.17599999999999999</v>
      </c>
      <c r="M123">
        <v>0.54</v>
      </c>
      <c r="N123">
        <v>0</v>
      </c>
      <c r="O123">
        <v>4.4000000000000004</v>
      </c>
      <c r="P123">
        <v>842439.67</v>
      </c>
      <c r="Q123">
        <v>169983.63</v>
      </c>
    </row>
    <row r="124" spans="1:17">
      <c r="A124" t="s">
        <v>53</v>
      </c>
      <c r="B124" s="2">
        <v>45717</v>
      </c>
      <c r="C124" t="s">
        <v>24</v>
      </c>
      <c r="D124" t="s">
        <v>18</v>
      </c>
      <c r="E124">
        <v>56517.9</v>
      </c>
      <c r="F124">
        <v>9574</v>
      </c>
      <c r="G124">
        <v>88.2</v>
      </c>
      <c r="H124">
        <f t="shared" si="3"/>
        <v>0</v>
      </c>
      <c r="I124">
        <f t="shared" si="4"/>
        <v>1</v>
      </c>
      <c r="J124">
        <f t="shared" si="5"/>
        <v>0</v>
      </c>
      <c r="K124">
        <v>20</v>
      </c>
      <c r="L124">
        <v>0.20399999999999999</v>
      </c>
      <c r="M124">
        <v>5.37</v>
      </c>
      <c r="N124">
        <v>1</v>
      </c>
      <c r="O124">
        <v>4.9000000000000004</v>
      </c>
      <c r="P124">
        <v>842157.92</v>
      </c>
      <c r="Q124">
        <v>107348.22</v>
      </c>
    </row>
    <row r="125" spans="1:17">
      <c r="A125" t="s">
        <v>53</v>
      </c>
      <c r="B125" s="2">
        <v>45748</v>
      </c>
      <c r="C125" t="s">
        <v>24</v>
      </c>
      <c r="D125" t="s">
        <v>18</v>
      </c>
      <c r="E125">
        <v>37828.5</v>
      </c>
      <c r="F125">
        <v>8221</v>
      </c>
      <c r="G125">
        <v>81.5</v>
      </c>
      <c r="H125">
        <f t="shared" si="3"/>
        <v>0</v>
      </c>
      <c r="I125">
        <f t="shared" si="4"/>
        <v>1</v>
      </c>
      <c r="J125">
        <f t="shared" si="5"/>
        <v>0</v>
      </c>
      <c r="K125">
        <v>19</v>
      </c>
      <c r="L125">
        <v>9.6000000000000002E-2</v>
      </c>
      <c r="M125">
        <v>3.19</v>
      </c>
      <c r="N125">
        <v>0</v>
      </c>
      <c r="O125">
        <v>4.8</v>
      </c>
      <c r="P125">
        <v>697155.3</v>
      </c>
      <c r="Q125">
        <v>136408.54</v>
      </c>
    </row>
    <row r="126" spans="1:17">
      <c r="A126" t="s">
        <v>54</v>
      </c>
      <c r="B126" s="2">
        <v>45658</v>
      </c>
      <c r="C126" t="s">
        <v>15</v>
      </c>
      <c r="D126" t="s">
        <v>18</v>
      </c>
      <c r="E126">
        <v>66250.53</v>
      </c>
      <c r="F126">
        <v>10618</v>
      </c>
      <c r="G126">
        <v>88.3</v>
      </c>
      <c r="H126">
        <f t="shared" si="3"/>
        <v>0</v>
      </c>
      <c r="I126">
        <f t="shared" si="4"/>
        <v>1</v>
      </c>
      <c r="J126">
        <f t="shared" si="5"/>
        <v>0</v>
      </c>
      <c r="K126">
        <v>27</v>
      </c>
      <c r="L126">
        <v>0.14199999999999999</v>
      </c>
      <c r="M126">
        <v>1.1000000000000001</v>
      </c>
      <c r="N126">
        <v>1</v>
      </c>
      <c r="O126">
        <v>4.4000000000000004</v>
      </c>
      <c r="P126">
        <v>849018.3</v>
      </c>
      <c r="Q126">
        <v>149035.13</v>
      </c>
    </row>
    <row r="127" spans="1:17">
      <c r="A127" t="s">
        <v>54</v>
      </c>
      <c r="B127" s="2">
        <v>45689</v>
      </c>
      <c r="C127" t="s">
        <v>15</v>
      </c>
      <c r="D127" t="s">
        <v>18</v>
      </c>
      <c r="E127">
        <v>68410.929999999993</v>
      </c>
      <c r="F127">
        <v>10596</v>
      </c>
      <c r="G127">
        <v>81.2</v>
      </c>
      <c r="H127">
        <f t="shared" si="3"/>
        <v>0</v>
      </c>
      <c r="I127">
        <f t="shared" si="4"/>
        <v>1</v>
      </c>
      <c r="J127">
        <f t="shared" si="5"/>
        <v>0</v>
      </c>
      <c r="K127">
        <v>25</v>
      </c>
      <c r="L127">
        <v>0.20699999999999999</v>
      </c>
      <c r="M127">
        <v>0.21</v>
      </c>
      <c r="N127">
        <v>0</v>
      </c>
      <c r="O127">
        <v>4</v>
      </c>
      <c r="P127">
        <v>801830.35</v>
      </c>
      <c r="Q127">
        <v>114875.32</v>
      </c>
    </row>
    <row r="128" spans="1:17">
      <c r="A128" t="s">
        <v>54</v>
      </c>
      <c r="B128" s="2">
        <v>45717</v>
      </c>
      <c r="C128" t="s">
        <v>15</v>
      </c>
      <c r="D128" t="s">
        <v>18</v>
      </c>
      <c r="E128">
        <v>50735.63</v>
      </c>
      <c r="F128">
        <v>9619</v>
      </c>
      <c r="G128">
        <v>93.8</v>
      </c>
      <c r="H128">
        <f t="shared" si="3"/>
        <v>0</v>
      </c>
      <c r="I128">
        <f t="shared" si="4"/>
        <v>1</v>
      </c>
      <c r="J128">
        <f t="shared" si="5"/>
        <v>0</v>
      </c>
      <c r="K128">
        <v>19</v>
      </c>
      <c r="L128">
        <v>0.14399999999999999</v>
      </c>
      <c r="M128">
        <v>5.12</v>
      </c>
      <c r="N128">
        <v>1</v>
      </c>
      <c r="O128">
        <v>4.5</v>
      </c>
      <c r="P128">
        <v>725235.28</v>
      </c>
      <c r="Q128">
        <v>121632.24</v>
      </c>
    </row>
    <row r="129" spans="1:17">
      <c r="A129" t="s">
        <v>54</v>
      </c>
      <c r="B129" s="2">
        <v>45748</v>
      </c>
      <c r="C129" t="s">
        <v>15</v>
      </c>
      <c r="D129" t="s">
        <v>18</v>
      </c>
      <c r="E129">
        <v>66455.8</v>
      </c>
      <c r="F129">
        <v>10836</v>
      </c>
      <c r="G129">
        <v>85</v>
      </c>
      <c r="H129">
        <f t="shared" si="3"/>
        <v>0</v>
      </c>
      <c r="I129">
        <f t="shared" si="4"/>
        <v>1</v>
      </c>
      <c r="J129">
        <f t="shared" si="5"/>
        <v>0</v>
      </c>
      <c r="K129">
        <v>25</v>
      </c>
      <c r="L129">
        <v>8.8999999999999996E-2</v>
      </c>
      <c r="M129">
        <v>9.77</v>
      </c>
      <c r="N129">
        <v>0</v>
      </c>
      <c r="O129">
        <v>4.5</v>
      </c>
      <c r="P129">
        <v>811452.72</v>
      </c>
      <c r="Q129">
        <v>131325.67000000001</v>
      </c>
    </row>
    <row r="130" spans="1:17">
      <c r="A130" t="s">
        <v>55</v>
      </c>
      <c r="B130" s="2">
        <v>45658</v>
      </c>
      <c r="C130" t="s">
        <v>20</v>
      </c>
      <c r="D130" t="s">
        <v>18</v>
      </c>
      <c r="E130">
        <v>70276.28</v>
      </c>
      <c r="F130">
        <v>3043</v>
      </c>
      <c r="G130">
        <v>87.9</v>
      </c>
      <c r="H130">
        <f t="shared" si="3"/>
        <v>0</v>
      </c>
      <c r="I130">
        <f t="shared" si="4"/>
        <v>1</v>
      </c>
      <c r="J130">
        <f t="shared" si="5"/>
        <v>0</v>
      </c>
      <c r="K130">
        <v>9</v>
      </c>
      <c r="L130">
        <v>7.9000000000000001E-2</v>
      </c>
      <c r="M130">
        <v>3.77</v>
      </c>
      <c r="N130">
        <v>0</v>
      </c>
      <c r="O130">
        <v>4.4000000000000004</v>
      </c>
      <c r="P130">
        <v>527300.13</v>
      </c>
      <c r="Q130">
        <v>84197.87</v>
      </c>
    </row>
    <row r="131" spans="1:17">
      <c r="A131" t="s">
        <v>55</v>
      </c>
      <c r="B131" s="2">
        <v>45717</v>
      </c>
      <c r="C131" t="s">
        <v>20</v>
      </c>
      <c r="D131" t="s">
        <v>18</v>
      </c>
      <c r="E131">
        <v>52285.45</v>
      </c>
      <c r="F131">
        <v>3618</v>
      </c>
      <c r="G131">
        <v>95.6</v>
      </c>
      <c r="H131">
        <f t="shared" ref="H131:H194" si="6">IF($D131="Mall", 1, 0)</f>
        <v>0</v>
      </c>
      <c r="I131">
        <f t="shared" ref="I131:I194" si="7">IF($D131="High Street", 1, 0)</f>
        <v>1</v>
      </c>
      <c r="J131">
        <f t="shared" ref="J131:J194" si="8">IF($D131="Residential", 1, 0)</f>
        <v>0</v>
      </c>
      <c r="K131">
        <v>11</v>
      </c>
      <c r="L131">
        <v>8.5999999999999993E-2</v>
      </c>
      <c r="M131">
        <v>5.17</v>
      </c>
      <c r="N131">
        <v>1</v>
      </c>
      <c r="O131">
        <v>4.4000000000000004</v>
      </c>
      <c r="P131">
        <v>593247.25</v>
      </c>
      <c r="Q131">
        <v>81240.289999999994</v>
      </c>
    </row>
    <row r="132" spans="1:17">
      <c r="A132" t="s">
        <v>55</v>
      </c>
      <c r="B132" s="2">
        <v>45748</v>
      </c>
      <c r="C132" t="s">
        <v>20</v>
      </c>
      <c r="D132" t="s">
        <v>18</v>
      </c>
      <c r="E132">
        <v>70366.759999999995</v>
      </c>
      <c r="F132">
        <v>1963</v>
      </c>
      <c r="G132">
        <v>89.8</v>
      </c>
      <c r="H132">
        <f t="shared" si="6"/>
        <v>0</v>
      </c>
      <c r="I132">
        <f t="shared" si="7"/>
        <v>1</v>
      </c>
      <c r="J132">
        <f t="shared" si="8"/>
        <v>0</v>
      </c>
      <c r="K132">
        <v>8</v>
      </c>
      <c r="L132">
        <v>0.182</v>
      </c>
      <c r="M132">
        <v>3.2</v>
      </c>
      <c r="N132">
        <v>0</v>
      </c>
      <c r="O132">
        <v>4.5999999999999996</v>
      </c>
      <c r="P132">
        <v>529075.94999999995</v>
      </c>
      <c r="Q132">
        <v>95978.83</v>
      </c>
    </row>
    <row r="133" spans="1:17">
      <c r="A133" t="s">
        <v>56</v>
      </c>
      <c r="B133" s="2">
        <v>45689</v>
      </c>
      <c r="C133" t="s">
        <v>24</v>
      </c>
      <c r="D133" t="s">
        <v>16</v>
      </c>
      <c r="E133">
        <v>75109.67</v>
      </c>
      <c r="F133">
        <v>6244</v>
      </c>
      <c r="G133">
        <v>96.3</v>
      </c>
      <c r="H133">
        <f t="shared" si="6"/>
        <v>0</v>
      </c>
      <c r="I133">
        <f t="shared" si="7"/>
        <v>0</v>
      </c>
      <c r="J133">
        <f t="shared" si="8"/>
        <v>1</v>
      </c>
      <c r="K133">
        <v>15</v>
      </c>
      <c r="L133">
        <v>7.9000000000000001E-2</v>
      </c>
      <c r="M133">
        <v>7.38</v>
      </c>
      <c r="N133">
        <v>0</v>
      </c>
      <c r="O133">
        <v>3.7</v>
      </c>
      <c r="P133">
        <v>743348.84</v>
      </c>
      <c r="Q133">
        <v>104186.09</v>
      </c>
    </row>
    <row r="134" spans="1:17">
      <c r="A134" t="s">
        <v>56</v>
      </c>
      <c r="B134" s="2">
        <v>45717</v>
      </c>
      <c r="C134" t="s">
        <v>24</v>
      </c>
      <c r="D134" t="s">
        <v>16</v>
      </c>
      <c r="E134">
        <v>69779</v>
      </c>
      <c r="F134">
        <v>6544</v>
      </c>
      <c r="G134">
        <v>90.2</v>
      </c>
      <c r="H134">
        <f t="shared" si="6"/>
        <v>0</v>
      </c>
      <c r="I134">
        <f t="shared" si="7"/>
        <v>0</v>
      </c>
      <c r="J134">
        <f t="shared" si="8"/>
        <v>1</v>
      </c>
      <c r="K134">
        <v>18</v>
      </c>
      <c r="L134">
        <v>0.152</v>
      </c>
      <c r="M134">
        <v>0.85</v>
      </c>
      <c r="N134">
        <v>1</v>
      </c>
      <c r="O134">
        <v>3.3</v>
      </c>
      <c r="P134">
        <v>758827.64</v>
      </c>
      <c r="Q134">
        <v>161439.48000000001</v>
      </c>
    </row>
    <row r="135" spans="1:17">
      <c r="A135" t="s">
        <v>56</v>
      </c>
      <c r="B135" s="2">
        <v>45748</v>
      </c>
      <c r="C135" t="s">
        <v>24</v>
      </c>
      <c r="D135" t="s">
        <v>16</v>
      </c>
      <c r="E135">
        <v>44211.95</v>
      </c>
      <c r="F135">
        <v>5465</v>
      </c>
      <c r="G135">
        <v>90</v>
      </c>
      <c r="H135">
        <f t="shared" si="6"/>
        <v>0</v>
      </c>
      <c r="I135">
        <f t="shared" si="7"/>
        <v>0</v>
      </c>
      <c r="J135">
        <f t="shared" si="8"/>
        <v>1</v>
      </c>
      <c r="K135">
        <v>12</v>
      </c>
      <c r="L135">
        <v>0.187</v>
      </c>
      <c r="M135">
        <v>2.89</v>
      </c>
      <c r="N135">
        <v>0</v>
      </c>
      <c r="O135">
        <v>3.6</v>
      </c>
      <c r="P135">
        <v>646559.71</v>
      </c>
      <c r="Q135">
        <v>97981.75</v>
      </c>
    </row>
    <row r="136" spans="1:17">
      <c r="A136" t="s">
        <v>57</v>
      </c>
      <c r="B136" s="2">
        <v>45658</v>
      </c>
      <c r="C136" t="s">
        <v>27</v>
      </c>
      <c r="D136" t="s">
        <v>18</v>
      </c>
      <c r="E136">
        <v>51430.31</v>
      </c>
      <c r="F136">
        <v>6427</v>
      </c>
      <c r="G136">
        <v>88.8</v>
      </c>
      <c r="H136">
        <f t="shared" si="6"/>
        <v>0</v>
      </c>
      <c r="I136">
        <f t="shared" si="7"/>
        <v>1</v>
      </c>
      <c r="J136">
        <f t="shared" si="8"/>
        <v>0</v>
      </c>
      <c r="K136">
        <v>14</v>
      </c>
      <c r="L136">
        <v>0.23400000000000001</v>
      </c>
      <c r="M136">
        <v>0.77</v>
      </c>
      <c r="N136">
        <v>0</v>
      </c>
      <c r="O136">
        <v>4.0999999999999996</v>
      </c>
      <c r="P136">
        <v>715890.53</v>
      </c>
      <c r="Q136">
        <v>109032.15</v>
      </c>
    </row>
    <row r="137" spans="1:17">
      <c r="A137" t="s">
        <v>57</v>
      </c>
      <c r="B137" s="2">
        <v>45689</v>
      </c>
      <c r="C137" t="s">
        <v>27</v>
      </c>
      <c r="D137" t="s">
        <v>18</v>
      </c>
      <c r="E137">
        <v>45706.49</v>
      </c>
      <c r="F137">
        <v>6704</v>
      </c>
      <c r="G137">
        <v>94.2</v>
      </c>
      <c r="H137">
        <f t="shared" si="6"/>
        <v>0</v>
      </c>
      <c r="I137">
        <f t="shared" si="7"/>
        <v>1</v>
      </c>
      <c r="J137">
        <f t="shared" si="8"/>
        <v>0</v>
      </c>
      <c r="K137">
        <v>15</v>
      </c>
      <c r="L137">
        <v>3.7999999999999999E-2</v>
      </c>
      <c r="M137">
        <v>2.92</v>
      </c>
      <c r="N137">
        <v>0</v>
      </c>
      <c r="O137">
        <v>4.2</v>
      </c>
      <c r="P137">
        <v>715097.57</v>
      </c>
      <c r="Q137">
        <v>151875.85999999999</v>
      </c>
    </row>
    <row r="138" spans="1:17">
      <c r="A138" t="s">
        <v>57</v>
      </c>
      <c r="B138" s="2">
        <v>45717</v>
      </c>
      <c r="C138" t="s">
        <v>27</v>
      </c>
      <c r="D138" t="s">
        <v>18</v>
      </c>
      <c r="E138">
        <v>44034.6</v>
      </c>
      <c r="F138">
        <v>5645</v>
      </c>
      <c r="G138">
        <v>88.5</v>
      </c>
      <c r="H138">
        <f t="shared" si="6"/>
        <v>0</v>
      </c>
      <c r="I138">
        <f t="shared" si="7"/>
        <v>1</v>
      </c>
      <c r="J138">
        <f t="shared" si="8"/>
        <v>0</v>
      </c>
      <c r="K138">
        <v>18</v>
      </c>
      <c r="L138">
        <v>6.9000000000000006E-2</v>
      </c>
      <c r="M138">
        <v>3.07</v>
      </c>
      <c r="N138">
        <v>0</v>
      </c>
      <c r="O138">
        <v>3.8</v>
      </c>
      <c r="P138">
        <v>682639.28</v>
      </c>
      <c r="Q138">
        <v>77557.53</v>
      </c>
    </row>
    <row r="139" spans="1:17">
      <c r="A139" t="s">
        <v>57</v>
      </c>
      <c r="B139" s="2">
        <v>45748</v>
      </c>
      <c r="C139" t="s">
        <v>27</v>
      </c>
      <c r="D139" t="s">
        <v>18</v>
      </c>
      <c r="E139">
        <v>50198.12</v>
      </c>
      <c r="F139">
        <v>6089</v>
      </c>
      <c r="G139">
        <v>94</v>
      </c>
      <c r="H139">
        <f t="shared" si="6"/>
        <v>0</v>
      </c>
      <c r="I139">
        <f t="shared" si="7"/>
        <v>1</v>
      </c>
      <c r="J139">
        <f t="shared" si="8"/>
        <v>0</v>
      </c>
      <c r="K139">
        <v>19</v>
      </c>
      <c r="L139">
        <v>0.182</v>
      </c>
      <c r="M139">
        <v>9.6999999999999993</v>
      </c>
      <c r="N139">
        <v>0</v>
      </c>
      <c r="O139">
        <v>3.9</v>
      </c>
      <c r="P139">
        <v>695098.51</v>
      </c>
      <c r="Q139">
        <v>108192.75</v>
      </c>
    </row>
    <row r="140" spans="1:17">
      <c r="A140" t="s">
        <v>58</v>
      </c>
      <c r="B140" s="2">
        <v>45658</v>
      </c>
      <c r="C140" t="s">
        <v>20</v>
      </c>
      <c r="D140" t="s">
        <v>16</v>
      </c>
      <c r="E140">
        <v>70488.2</v>
      </c>
      <c r="F140">
        <v>4312</v>
      </c>
      <c r="G140">
        <v>90.2</v>
      </c>
      <c r="H140">
        <f t="shared" si="6"/>
        <v>0</v>
      </c>
      <c r="I140">
        <f t="shared" si="7"/>
        <v>0</v>
      </c>
      <c r="J140">
        <f t="shared" si="8"/>
        <v>1</v>
      </c>
      <c r="K140">
        <v>12</v>
      </c>
      <c r="L140">
        <v>0.16900000000000001</v>
      </c>
      <c r="M140">
        <v>3.71</v>
      </c>
      <c r="N140">
        <v>0</v>
      </c>
      <c r="O140">
        <v>3.2</v>
      </c>
      <c r="P140">
        <v>577732.56999999995</v>
      </c>
      <c r="Q140">
        <v>93804.27</v>
      </c>
    </row>
    <row r="141" spans="1:17">
      <c r="A141" t="s">
        <v>58</v>
      </c>
      <c r="B141" s="2">
        <v>45689</v>
      </c>
      <c r="C141" t="s">
        <v>20</v>
      </c>
      <c r="D141" t="s">
        <v>16</v>
      </c>
      <c r="E141">
        <v>50909.27</v>
      </c>
      <c r="F141">
        <v>3152</v>
      </c>
      <c r="G141">
        <v>93.7</v>
      </c>
      <c r="H141">
        <f t="shared" si="6"/>
        <v>0</v>
      </c>
      <c r="I141">
        <f t="shared" si="7"/>
        <v>0</v>
      </c>
      <c r="J141">
        <f t="shared" si="8"/>
        <v>1</v>
      </c>
      <c r="K141">
        <v>13</v>
      </c>
      <c r="L141">
        <v>0.06</v>
      </c>
      <c r="M141">
        <v>10.79</v>
      </c>
      <c r="N141">
        <v>0</v>
      </c>
      <c r="O141">
        <v>3.5</v>
      </c>
      <c r="P141">
        <v>537058.32999999996</v>
      </c>
      <c r="Q141">
        <v>93555.71</v>
      </c>
    </row>
    <row r="142" spans="1:17">
      <c r="A142" t="s">
        <v>58</v>
      </c>
      <c r="B142" s="2">
        <v>45717</v>
      </c>
      <c r="C142" t="s">
        <v>20</v>
      </c>
      <c r="D142" t="s">
        <v>16</v>
      </c>
      <c r="E142">
        <v>53351.7</v>
      </c>
      <c r="F142">
        <v>4259</v>
      </c>
      <c r="G142">
        <v>93.7</v>
      </c>
      <c r="H142">
        <f t="shared" si="6"/>
        <v>0</v>
      </c>
      <c r="I142">
        <f t="shared" si="7"/>
        <v>0</v>
      </c>
      <c r="J142">
        <f t="shared" si="8"/>
        <v>1</v>
      </c>
      <c r="K142">
        <v>15</v>
      </c>
      <c r="L142">
        <v>0.156</v>
      </c>
      <c r="M142">
        <v>6.03</v>
      </c>
      <c r="N142">
        <v>0</v>
      </c>
      <c r="O142">
        <v>3.4</v>
      </c>
      <c r="P142">
        <v>601568.87</v>
      </c>
      <c r="Q142">
        <v>91634.82</v>
      </c>
    </row>
    <row r="143" spans="1:17">
      <c r="A143" t="s">
        <v>58</v>
      </c>
      <c r="B143" s="2">
        <v>45748</v>
      </c>
      <c r="C143" t="s">
        <v>20</v>
      </c>
      <c r="D143" t="s">
        <v>16</v>
      </c>
      <c r="E143">
        <v>60322.400000000001</v>
      </c>
      <c r="F143">
        <v>3350</v>
      </c>
      <c r="G143">
        <v>89.4</v>
      </c>
      <c r="H143">
        <f t="shared" si="6"/>
        <v>0</v>
      </c>
      <c r="I143">
        <f t="shared" si="7"/>
        <v>0</v>
      </c>
      <c r="J143">
        <f t="shared" si="8"/>
        <v>1</v>
      </c>
      <c r="K143">
        <v>12</v>
      </c>
      <c r="L143">
        <v>0.108</v>
      </c>
      <c r="M143">
        <v>4.92</v>
      </c>
      <c r="N143">
        <v>0</v>
      </c>
      <c r="O143">
        <v>3.4</v>
      </c>
      <c r="P143">
        <v>570964.84</v>
      </c>
      <c r="Q143">
        <v>81331.070000000007</v>
      </c>
    </row>
    <row r="144" spans="1:17">
      <c r="A144" t="s">
        <v>59</v>
      </c>
      <c r="B144" s="2">
        <v>45658</v>
      </c>
      <c r="C144" t="s">
        <v>24</v>
      </c>
      <c r="D144" t="s">
        <v>28</v>
      </c>
      <c r="E144">
        <v>51575.68</v>
      </c>
      <c r="F144">
        <v>5329</v>
      </c>
      <c r="G144">
        <v>88.1</v>
      </c>
      <c r="H144">
        <f t="shared" si="6"/>
        <v>1</v>
      </c>
      <c r="I144">
        <f t="shared" si="7"/>
        <v>0</v>
      </c>
      <c r="J144">
        <f t="shared" si="8"/>
        <v>0</v>
      </c>
      <c r="K144">
        <v>17</v>
      </c>
      <c r="L144">
        <v>4.7E-2</v>
      </c>
      <c r="M144">
        <v>19.78</v>
      </c>
      <c r="N144">
        <v>0</v>
      </c>
      <c r="O144">
        <v>3.8</v>
      </c>
      <c r="P144">
        <v>614024.91</v>
      </c>
      <c r="Q144">
        <v>84828.93</v>
      </c>
    </row>
    <row r="145" spans="1:17">
      <c r="A145" t="s">
        <v>59</v>
      </c>
      <c r="B145" s="2">
        <v>45689</v>
      </c>
      <c r="C145" t="s">
        <v>24</v>
      </c>
      <c r="D145" t="s">
        <v>28</v>
      </c>
      <c r="E145">
        <v>43319.94</v>
      </c>
      <c r="F145">
        <v>6551</v>
      </c>
      <c r="G145">
        <v>99</v>
      </c>
      <c r="H145">
        <f t="shared" si="6"/>
        <v>1</v>
      </c>
      <c r="I145">
        <f t="shared" si="7"/>
        <v>0</v>
      </c>
      <c r="J145">
        <f t="shared" si="8"/>
        <v>0</v>
      </c>
      <c r="K145">
        <v>13</v>
      </c>
      <c r="L145">
        <v>4.3999999999999997E-2</v>
      </c>
      <c r="M145">
        <v>5.45</v>
      </c>
      <c r="N145">
        <v>0</v>
      </c>
      <c r="O145">
        <v>4.0999999999999996</v>
      </c>
      <c r="P145">
        <v>712868.35</v>
      </c>
      <c r="Q145">
        <v>133650.51</v>
      </c>
    </row>
    <row r="146" spans="1:17">
      <c r="A146" t="s">
        <v>59</v>
      </c>
      <c r="B146" s="2">
        <v>45717</v>
      </c>
      <c r="C146" t="s">
        <v>24</v>
      </c>
      <c r="D146" t="s">
        <v>28</v>
      </c>
      <c r="E146">
        <v>47093.55</v>
      </c>
      <c r="F146">
        <v>5550</v>
      </c>
      <c r="G146">
        <v>95</v>
      </c>
      <c r="H146">
        <f t="shared" si="6"/>
        <v>1</v>
      </c>
      <c r="I146">
        <f t="shared" si="7"/>
        <v>0</v>
      </c>
      <c r="J146">
        <f t="shared" si="8"/>
        <v>0</v>
      </c>
      <c r="K146">
        <v>12</v>
      </c>
      <c r="L146">
        <v>0.1</v>
      </c>
      <c r="M146">
        <v>2.33</v>
      </c>
      <c r="N146">
        <v>1</v>
      </c>
      <c r="O146">
        <v>3.7</v>
      </c>
      <c r="P146">
        <v>696744.15</v>
      </c>
      <c r="Q146">
        <v>152230.09</v>
      </c>
    </row>
    <row r="147" spans="1:17">
      <c r="A147" t="s">
        <v>59</v>
      </c>
      <c r="B147" s="2">
        <v>45748</v>
      </c>
      <c r="C147" t="s">
        <v>24</v>
      </c>
      <c r="D147" t="s">
        <v>28</v>
      </c>
      <c r="E147">
        <v>71855.09</v>
      </c>
      <c r="F147">
        <v>5911</v>
      </c>
      <c r="G147">
        <v>94.3</v>
      </c>
      <c r="H147">
        <f t="shared" si="6"/>
        <v>1</v>
      </c>
      <c r="I147">
        <f t="shared" si="7"/>
        <v>0</v>
      </c>
      <c r="J147">
        <f t="shared" si="8"/>
        <v>0</v>
      </c>
      <c r="K147">
        <v>15</v>
      </c>
      <c r="L147">
        <v>0.19700000000000001</v>
      </c>
      <c r="M147">
        <v>3.55</v>
      </c>
      <c r="N147">
        <v>0</v>
      </c>
      <c r="O147">
        <v>4.0999999999999996</v>
      </c>
      <c r="P147">
        <v>725847.99</v>
      </c>
      <c r="Q147">
        <v>122698.73</v>
      </c>
    </row>
    <row r="148" spans="1:17">
      <c r="A148" t="s">
        <v>60</v>
      </c>
      <c r="B148" s="2">
        <v>45658</v>
      </c>
      <c r="C148" t="s">
        <v>15</v>
      </c>
      <c r="D148" t="s">
        <v>18</v>
      </c>
      <c r="E148">
        <v>75645.23</v>
      </c>
      <c r="F148">
        <v>9674</v>
      </c>
      <c r="G148">
        <v>87.4</v>
      </c>
      <c r="H148">
        <f t="shared" si="6"/>
        <v>0</v>
      </c>
      <c r="I148">
        <f t="shared" si="7"/>
        <v>1</v>
      </c>
      <c r="J148">
        <f t="shared" si="8"/>
        <v>0</v>
      </c>
      <c r="K148">
        <v>21</v>
      </c>
      <c r="L148">
        <v>0.23400000000000001</v>
      </c>
      <c r="M148">
        <v>0.2</v>
      </c>
      <c r="N148">
        <v>0</v>
      </c>
      <c r="O148">
        <v>4.5</v>
      </c>
      <c r="P148">
        <v>785028.25</v>
      </c>
      <c r="Q148">
        <v>110726.44</v>
      </c>
    </row>
    <row r="149" spans="1:17">
      <c r="A149" t="s">
        <v>60</v>
      </c>
      <c r="B149" s="2">
        <v>45689</v>
      </c>
      <c r="C149" t="s">
        <v>15</v>
      </c>
      <c r="D149" t="s">
        <v>18</v>
      </c>
      <c r="E149">
        <v>64374.75</v>
      </c>
      <c r="F149">
        <v>6740</v>
      </c>
      <c r="G149">
        <v>87</v>
      </c>
      <c r="H149">
        <f t="shared" si="6"/>
        <v>0</v>
      </c>
      <c r="I149">
        <f t="shared" si="7"/>
        <v>1</v>
      </c>
      <c r="J149">
        <f t="shared" si="8"/>
        <v>0</v>
      </c>
      <c r="K149">
        <v>18</v>
      </c>
      <c r="L149">
        <v>0.16900000000000001</v>
      </c>
      <c r="M149">
        <v>2.09</v>
      </c>
      <c r="N149">
        <v>0</v>
      </c>
      <c r="O149">
        <v>4.2</v>
      </c>
      <c r="P149">
        <v>698492.67</v>
      </c>
      <c r="Q149">
        <v>117319.32</v>
      </c>
    </row>
    <row r="150" spans="1:17">
      <c r="A150" t="s">
        <v>60</v>
      </c>
      <c r="B150" s="2">
        <v>45717</v>
      </c>
      <c r="C150" t="s">
        <v>15</v>
      </c>
      <c r="D150" t="s">
        <v>18</v>
      </c>
      <c r="E150">
        <v>61433.84</v>
      </c>
      <c r="F150">
        <v>7745</v>
      </c>
      <c r="G150">
        <v>90.5</v>
      </c>
      <c r="H150">
        <f t="shared" si="6"/>
        <v>0</v>
      </c>
      <c r="I150">
        <f t="shared" si="7"/>
        <v>1</v>
      </c>
      <c r="J150">
        <f t="shared" si="8"/>
        <v>0</v>
      </c>
      <c r="K150">
        <v>16</v>
      </c>
      <c r="L150">
        <v>0.18</v>
      </c>
      <c r="M150">
        <v>2.2599999999999998</v>
      </c>
      <c r="N150">
        <v>0</v>
      </c>
      <c r="O150">
        <v>4.2</v>
      </c>
      <c r="P150">
        <v>685830.24</v>
      </c>
      <c r="Q150">
        <v>128736.18</v>
      </c>
    </row>
    <row r="151" spans="1:17">
      <c r="A151" t="s">
        <v>60</v>
      </c>
      <c r="B151" s="2">
        <v>45748</v>
      </c>
      <c r="C151" t="s">
        <v>15</v>
      </c>
      <c r="D151" t="s">
        <v>18</v>
      </c>
      <c r="E151">
        <v>42698.14</v>
      </c>
      <c r="F151">
        <v>7693</v>
      </c>
      <c r="G151">
        <v>90.1</v>
      </c>
      <c r="H151">
        <f t="shared" si="6"/>
        <v>0</v>
      </c>
      <c r="I151">
        <f t="shared" si="7"/>
        <v>1</v>
      </c>
      <c r="J151">
        <f t="shared" si="8"/>
        <v>0</v>
      </c>
      <c r="K151">
        <v>19</v>
      </c>
      <c r="L151">
        <v>0.187</v>
      </c>
      <c r="M151">
        <v>0.44</v>
      </c>
      <c r="N151">
        <v>0</v>
      </c>
      <c r="O151">
        <v>4.4000000000000004</v>
      </c>
      <c r="P151">
        <v>702318.94</v>
      </c>
      <c r="Q151">
        <v>112829.29</v>
      </c>
    </row>
    <row r="152" spans="1:17">
      <c r="A152" t="s">
        <v>61</v>
      </c>
      <c r="B152" s="2">
        <v>45658</v>
      </c>
      <c r="C152" t="s">
        <v>20</v>
      </c>
      <c r="D152" t="s">
        <v>28</v>
      </c>
      <c r="E152">
        <v>86883.31</v>
      </c>
      <c r="F152">
        <v>6424</v>
      </c>
      <c r="G152">
        <v>85.2</v>
      </c>
      <c r="H152">
        <f t="shared" si="6"/>
        <v>1</v>
      </c>
      <c r="I152">
        <f t="shared" si="7"/>
        <v>0</v>
      </c>
      <c r="J152">
        <f t="shared" si="8"/>
        <v>0</v>
      </c>
      <c r="K152">
        <v>19</v>
      </c>
      <c r="L152">
        <v>5.7000000000000002E-2</v>
      </c>
      <c r="M152">
        <v>3.08</v>
      </c>
      <c r="N152">
        <v>0</v>
      </c>
      <c r="O152">
        <v>3.9</v>
      </c>
      <c r="P152">
        <v>700078.32</v>
      </c>
      <c r="Q152">
        <v>123707.58</v>
      </c>
    </row>
    <row r="153" spans="1:17">
      <c r="A153" t="s">
        <v>61</v>
      </c>
      <c r="B153" s="2">
        <v>45689</v>
      </c>
      <c r="C153" t="s">
        <v>20</v>
      </c>
      <c r="D153" t="s">
        <v>28</v>
      </c>
      <c r="E153">
        <v>41863.08</v>
      </c>
      <c r="F153">
        <v>5400</v>
      </c>
      <c r="G153">
        <v>91.6</v>
      </c>
      <c r="H153">
        <f t="shared" si="6"/>
        <v>1</v>
      </c>
      <c r="I153">
        <f t="shared" si="7"/>
        <v>0</v>
      </c>
      <c r="J153">
        <f t="shared" si="8"/>
        <v>0</v>
      </c>
      <c r="K153">
        <v>11</v>
      </c>
      <c r="L153">
        <v>0.114</v>
      </c>
      <c r="M153">
        <v>7.99</v>
      </c>
      <c r="N153">
        <v>0</v>
      </c>
      <c r="O153">
        <v>3</v>
      </c>
      <c r="P153">
        <v>602002.31999999995</v>
      </c>
      <c r="Q153">
        <v>110453.28</v>
      </c>
    </row>
    <row r="154" spans="1:17">
      <c r="A154" t="s">
        <v>61</v>
      </c>
      <c r="B154" s="2">
        <v>45717</v>
      </c>
      <c r="C154" t="s">
        <v>20</v>
      </c>
      <c r="D154" t="s">
        <v>28</v>
      </c>
      <c r="E154">
        <v>56918.16</v>
      </c>
      <c r="F154">
        <v>7015</v>
      </c>
      <c r="G154">
        <v>74.2</v>
      </c>
      <c r="H154">
        <f t="shared" si="6"/>
        <v>1</v>
      </c>
      <c r="I154">
        <f t="shared" si="7"/>
        <v>0</v>
      </c>
      <c r="J154">
        <f t="shared" si="8"/>
        <v>0</v>
      </c>
      <c r="K154">
        <v>18</v>
      </c>
      <c r="L154">
        <v>0.158</v>
      </c>
      <c r="M154">
        <v>0.2</v>
      </c>
      <c r="N154">
        <v>0</v>
      </c>
      <c r="O154">
        <v>3.4</v>
      </c>
      <c r="P154">
        <v>724216.07</v>
      </c>
      <c r="Q154">
        <v>100627.56</v>
      </c>
    </row>
    <row r="155" spans="1:17">
      <c r="A155" t="s">
        <v>61</v>
      </c>
      <c r="B155" s="2">
        <v>45748</v>
      </c>
      <c r="C155" t="s">
        <v>20</v>
      </c>
      <c r="D155" t="s">
        <v>28</v>
      </c>
      <c r="E155">
        <v>23254.57</v>
      </c>
      <c r="F155">
        <v>3847</v>
      </c>
      <c r="G155">
        <v>93</v>
      </c>
      <c r="H155">
        <f t="shared" si="6"/>
        <v>1</v>
      </c>
      <c r="I155">
        <f t="shared" si="7"/>
        <v>0</v>
      </c>
      <c r="J155">
        <f t="shared" si="8"/>
        <v>0</v>
      </c>
      <c r="K155">
        <v>12</v>
      </c>
      <c r="L155">
        <v>0.159</v>
      </c>
      <c r="M155">
        <v>5.46</v>
      </c>
      <c r="N155">
        <v>0</v>
      </c>
      <c r="O155">
        <v>3.3</v>
      </c>
      <c r="P155">
        <v>620973.03</v>
      </c>
      <c r="Q155">
        <v>72303.850000000006</v>
      </c>
    </row>
    <row r="156" spans="1:17">
      <c r="A156" t="s">
        <v>62</v>
      </c>
      <c r="B156" s="2">
        <v>45658</v>
      </c>
      <c r="C156" t="s">
        <v>24</v>
      </c>
      <c r="D156" t="s">
        <v>18</v>
      </c>
      <c r="E156">
        <v>41443.410000000003</v>
      </c>
      <c r="F156">
        <v>7455</v>
      </c>
      <c r="G156">
        <v>90.1</v>
      </c>
      <c r="H156">
        <f t="shared" si="6"/>
        <v>0</v>
      </c>
      <c r="I156">
        <f t="shared" si="7"/>
        <v>1</v>
      </c>
      <c r="J156">
        <f t="shared" si="8"/>
        <v>0</v>
      </c>
      <c r="K156">
        <v>16</v>
      </c>
      <c r="L156">
        <v>0.17499999999999999</v>
      </c>
      <c r="M156">
        <v>4.05</v>
      </c>
      <c r="N156">
        <v>0</v>
      </c>
      <c r="O156">
        <v>4</v>
      </c>
      <c r="P156">
        <v>650480.06000000006</v>
      </c>
      <c r="Q156">
        <v>109012.07</v>
      </c>
    </row>
    <row r="157" spans="1:17">
      <c r="A157" t="s">
        <v>62</v>
      </c>
      <c r="B157" s="2">
        <v>45689</v>
      </c>
      <c r="C157" t="s">
        <v>24</v>
      </c>
      <c r="D157" t="s">
        <v>18</v>
      </c>
      <c r="E157">
        <v>48438.85</v>
      </c>
      <c r="F157">
        <v>6992</v>
      </c>
      <c r="G157">
        <v>91</v>
      </c>
      <c r="H157">
        <f t="shared" si="6"/>
        <v>0</v>
      </c>
      <c r="I157">
        <f t="shared" si="7"/>
        <v>1</v>
      </c>
      <c r="J157">
        <f t="shared" si="8"/>
        <v>0</v>
      </c>
      <c r="K157">
        <v>20</v>
      </c>
      <c r="L157">
        <v>3.4000000000000002E-2</v>
      </c>
      <c r="M157">
        <v>4.3600000000000003</v>
      </c>
      <c r="N157">
        <v>0</v>
      </c>
      <c r="O157">
        <v>4.2</v>
      </c>
      <c r="P157">
        <v>778298.88</v>
      </c>
      <c r="Q157">
        <v>130076.72</v>
      </c>
    </row>
    <row r="158" spans="1:17">
      <c r="A158" t="s">
        <v>62</v>
      </c>
      <c r="B158" s="2">
        <v>45748</v>
      </c>
      <c r="C158" t="s">
        <v>24</v>
      </c>
      <c r="D158" t="s">
        <v>18</v>
      </c>
      <c r="E158">
        <v>66870.62</v>
      </c>
      <c r="F158">
        <v>6055</v>
      </c>
      <c r="G158">
        <v>93.8</v>
      </c>
      <c r="H158">
        <f t="shared" si="6"/>
        <v>0</v>
      </c>
      <c r="I158">
        <f t="shared" si="7"/>
        <v>1</v>
      </c>
      <c r="J158">
        <f t="shared" si="8"/>
        <v>0</v>
      </c>
      <c r="K158">
        <v>19</v>
      </c>
      <c r="L158">
        <v>7.4999999999999997E-2</v>
      </c>
      <c r="M158">
        <v>0.54</v>
      </c>
      <c r="N158">
        <v>0</v>
      </c>
      <c r="O158">
        <v>4.3</v>
      </c>
      <c r="P158">
        <v>692008.64</v>
      </c>
      <c r="Q158">
        <v>116337.87</v>
      </c>
    </row>
    <row r="159" spans="1:17">
      <c r="A159" t="s">
        <v>63</v>
      </c>
      <c r="B159" s="2">
        <v>45658</v>
      </c>
      <c r="C159" t="s">
        <v>20</v>
      </c>
      <c r="D159" t="s">
        <v>28</v>
      </c>
      <c r="E159">
        <v>72150.53</v>
      </c>
      <c r="F159">
        <v>9323</v>
      </c>
      <c r="G159">
        <v>82.9</v>
      </c>
      <c r="H159">
        <f t="shared" si="6"/>
        <v>1</v>
      </c>
      <c r="I159">
        <f t="shared" si="7"/>
        <v>0</v>
      </c>
      <c r="J159">
        <f t="shared" si="8"/>
        <v>0</v>
      </c>
      <c r="K159">
        <v>22</v>
      </c>
      <c r="L159">
        <v>0.157</v>
      </c>
      <c r="M159">
        <v>11.37</v>
      </c>
      <c r="N159">
        <v>1</v>
      </c>
      <c r="O159">
        <v>4.3</v>
      </c>
      <c r="P159">
        <v>825797.91</v>
      </c>
      <c r="Q159">
        <v>130945.24</v>
      </c>
    </row>
    <row r="160" spans="1:17">
      <c r="A160" t="s">
        <v>63</v>
      </c>
      <c r="B160" s="2">
        <v>45689</v>
      </c>
      <c r="C160" t="s">
        <v>20</v>
      </c>
      <c r="D160" t="s">
        <v>28</v>
      </c>
      <c r="E160">
        <v>35303.300000000003</v>
      </c>
      <c r="F160">
        <v>8789</v>
      </c>
      <c r="G160">
        <v>86.1</v>
      </c>
      <c r="H160">
        <f t="shared" si="6"/>
        <v>1</v>
      </c>
      <c r="I160">
        <f t="shared" si="7"/>
        <v>0</v>
      </c>
      <c r="J160">
        <f t="shared" si="8"/>
        <v>0</v>
      </c>
      <c r="K160">
        <v>22</v>
      </c>
      <c r="L160">
        <v>0.123</v>
      </c>
      <c r="M160">
        <v>9.43</v>
      </c>
      <c r="N160">
        <v>0</v>
      </c>
      <c r="O160">
        <v>4.2</v>
      </c>
      <c r="P160">
        <v>706285.52</v>
      </c>
      <c r="Q160">
        <v>138014.72</v>
      </c>
    </row>
    <row r="161" spans="1:17">
      <c r="A161" t="s">
        <v>63</v>
      </c>
      <c r="B161" s="2">
        <v>45717</v>
      </c>
      <c r="C161" t="s">
        <v>20</v>
      </c>
      <c r="D161" t="s">
        <v>28</v>
      </c>
      <c r="E161">
        <v>30301.86</v>
      </c>
      <c r="F161">
        <v>6939</v>
      </c>
      <c r="G161">
        <v>90.3</v>
      </c>
      <c r="H161">
        <f t="shared" si="6"/>
        <v>1</v>
      </c>
      <c r="I161">
        <f t="shared" si="7"/>
        <v>0</v>
      </c>
      <c r="J161">
        <f t="shared" si="8"/>
        <v>0</v>
      </c>
      <c r="K161">
        <v>16</v>
      </c>
      <c r="L161">
        <v>0.09</v>
      </c>
      <c r="M161">
        <v>3.49</v>
      </c>
      <c r="N161">
        <v>0</v>
      </c>
      <c r="O161">
        <v>4</v>
      </c>
      <c r="P161">
        <v>665534.69999999995</v>
      </c>
      <c r="Q161">
        <v>113167.73</v>
      </c>
    </row>
    <row r="162" spans="1:17">
      <c r="A162" t="s">
        <v>63</v>
      </c>
      <c r="B162" s="2">
        <v>45748</v>
      </c>
      <c r="C162" t="s">
        <v>20</v>
      </c>
      <c r="D162" t="s">
        <v>28</v>
      </c>
      <c r="E162">
        <v>78432.14</v>
      </c>
      <c r="F162">
        <v>9440</v>
      </c>
      <c r="G162">
        <v>89.2</v>
      </c>
      <c r="H162">
        <f t="shared" si="6"/>
        <v>1</v>
      </c>
      <c r="I162">
        <f t="shared" si="7"/>
        <v>0</v>
      </c>
      <c r="J162">
        <f t="shared" si="8"/>
        <v>0</v>
      </c>
      <c r="K162">
        <v>23</v>
      </c>
      <c r="L162">
        <v>0.126</v>
      </c>
      <c r="M162">
        <v>7.86</v>
      </c>
      <c r="N162">
        <v>0</v>
      </c>
      <c r="O162">
        <v>4.0999999999999996</v>
      </c>
      <c r="P162">
        <v>820729.29</v>
      </c>
      <c r="Q162">
        <v>159325.47</v>
      </c>
    </row>
    <row r="163" spans="1:17">
      <c r="A163" t="s">
        <v>64</v>
      </c>
      <c r="B163" s="2">
        <v>45658</v>
      </c>
      <c r="C163" t="s">
        <v>15</v>
      </c>
      <c r="D163" t="s">
        <v>16</v>
      </c>
      <c r="E163">
        <v>62059.18</v>
      </c>
      <c r="F163">
        <v>9374</v>
      </c>
      <c r="G163">
        <v>87.1</v>
      </c>
      <c r="H163">
        <f t="shared" si="6"/>
        <v>0</v>
      </c>
      <c r="I163">
        <f t="shared" si="7"/>
        <v>0</v>
      </c>
      <c r="J163">
        <f t="shared" si="8"/>
        <v>1</v>
      </c>
      <c r="K163">
        <v>25</v>
      </c>
      <c r="L163">
        <v>0.13600000000000001</v>
      </c>
      <c r="M163">
        <v>12.55</v>
      </c>
      <c r="N163">
        <v>0</v>
      </c>
      <c r="O163">
        <v>4.9000000000000004</v>
      </c>
      <c r="P163">
        <v>739831.73</v>
      </c>
      <c r="Q163">
        <v>119490.21</v>
      </c>
    </row>
    <row r="164" spans="1:17">
      <c r="A164" t="s">
        <v>64</v>
      </c>
      <c r="B164" s="2">
        <v>45689</v>
      </c>
      <c r="C164" t="s">
        <v>15</v>
      </c>
      <c r="D164" t="s">
        <v>16</v>
      </c>
      <c r="E164">
        <v>32834.480000000003</v>
      </c>
      <c r="F164">
        <v>7576</v>
      </c>
      <c r="G164">
        <v>84.1</v>
      </c>
      <c r="H164">
        <f t="shared" si="6"/>
        <v>0</v>
      </c>
      <c r="I164">
        <f t="shared" si="7"/>
        <v>0</v>
      </c>
      <c r="J164">
        <f t="shared" si="8"/>
        <v>1</v>
      </c>
      <c r="K164">
        <v>15</v>
      </c>
      <c r="L164">
        <v>9.9000000000000005E-2</v>
      </c>
      <c r="M164">
        <v>3.48</v>
      </c>
      <c r="N164">
        <v>0</v>
      </c>
      <c r="O164">
        <v>5</v>
      </c>
      <c r="P164">
        <v>593637.14</v>
      </c>
      <c r="Q164">
        <v>106648.14</v>
      </c>
    </row>
    <row r="165" spans="1:17">
      <c r="A165" t="s">
        <v>64</v>
      </c>
      <c r="B165" s="2">
        <v>45717</v>
      </c>
      <c r="C165" t="s">
        <v>15</v>
      </c>
      <c r="D165" t="s">
        <v>16</v>
      </c>
      <c r="E165">
        <v>50825.08</v>
      </c>
      <c r="F165">
        <v>8949</v>
      </c>
      <c r="G165">
        <v>84.7</v>
      </c>
      <c r="H165">
        <f t="shared" si="6"/>
        <v>0</v>
      </c>
      <c r="I165">
        <f t="shared" si="7"/>
        <v>0</v>
      </c>
      <c r="J165">
        <f t="shared" si="8"/>
        <v>1</v>
      </c>
      <c r="K165">
        <v>21</v>
      </c>
      <c r="L165">
        <v>0.157</v>
      </c>
      <c r="M165">
        <v>7.73</v>
      </c>
      <c r="N165">
        <v>0</v>
      </c>
      <c r="O165">
        <v>4.9000000000000004</v>
      </c>
      <c r="P165">
        <v>769702.76</v>
      </c>
      <c r="Q165">
        <v>158697</v>
      </c>
    </row>
    <row r="166" spans="1:17">
      <c r="A166" t="s">
        <v>64</v>
      </c>
      <c r="B166" s="2">
        <v>45748</v>
      </c>
      <c r="C166" t="s">
        <v>15</v>
      </c>
      <c r="D166" t="s">
        <v>16</v>
      </c>
      <c r="E166">
        <v>36606.51</v>
      </c>
      <c r="F166">
        <v>7671</v>
      </c>
      <c r="G166">
        <v>89.8</v>
      </c>
      <c r="H166">
        <f t="shared" si="6"/>
        <v>0</v>
      </c>
      <c r="I166">
        <f t="shared" si="7"/>
        <v>0</v>
      </c>
      <c r="J166">
        <f t="shared" si="8"/>
        <v>1</v>
      </c>
      <c r="K166">
        <v>18</v>
      </c>
      <c r="L166">
        <v>0.11799999999999999</v>
      </c>
      <c r="M166">
        <v>0.25</v>
      </c>
      <c r="N166">
        <v>0</v>
      </c>
      <c r="O166">
        <v>4.4000000000000004</v>
      </c>
      <c r="P166">
        <v>679731.57</v>
      </c>
      <c r="Q166">
        <v>121546.42</v>
      </c>
    </row>
    <row r="167" spans="1:17">
      <c r="A167" t="s">
        <v>65</v>
      </c>
      <c r="B167" s="2">
        <v>45658</v>
      </c>
      <c r="C167" t="s">
        <v>15</v>
      </c>
      <c r="D167" t="s">
        <v>16</v>
      </c>
      <c r="E167">
        <v>65237.79</v>
      </c>
      <c r="F167">
        <v>8741</v>
      </c>
      <c r="G167">
        <v>94.4</v>
      </c>
      <c r="H167">
        <f t="shared" si="6"/>
        <v>0</v>
      </c>
      <c r="I167">
        <f t="shared" si="7"/>
        <v>0</v>
      </c>
      <c r="J167">
        <f t="shared" si="8"/>
        <v>1</v>
      </c>
      <c r="K167">
        <v>20</v>
      </c>
      <c r="L167">
        <v>0.157</v>
      </c>
      <c r="M167">
        <v>6.43</v>
      </c>
      <c r="N167">
        <v>0</v>
      </c>
      <c r="O167">
        <v>3.3</v>
      </c>
      <c r="P167">
        <v>780344.18</v>
      </c>
      <c r="Q167">
        <v>118239.09</v>
      </c>
    </row>
    <row r="168" spans="1:17">
      <c r="A168" t="s">
        <v>65</v>
      </c>
      <c r="B168" s="2">
        <v>45689</v>
      </c>
      <c r="C168" t="s">
        <v>15</v>
      </c>
      <c r="D168" t="s">
        <v>16</v>
      </c>
      <c r="E168">
        <v>43645.98</v>
      </c>
      <c r="F168">
        <v>9480</v>
      </c>
      <c r="G168">
        <v>89</v>
      </c>
      <c r="H168">
        <f t="shared" si="6"/>
        <v>0</v>
      </c>
      <c r="I168">
        <f t="shared" si="7"/>
        <v>0</v>
      </c>
      <c r="J168">
        <f t="shared" si="8"/>
        <v>1</v>
      </c>
      <c r="K168">
        <v>22</v>
      </c>
      <c r="L168">
        <v>0.109</v>
      </c>
      <c r="M168">
        <v>2.11</v>
      </c>
      <c r="N168">
        <v>0</v>
      </c>
      <c r="O168">
        <v>3.1</v>
      </c>
      <c r="P168">
        <v>721364.11</v>
      </c>
      <c r="Q168">
        <v>147272.81</v>
      </c>
    </row>
    <row r="169" spans="1:17">
      <c r="A169" t="s">
        <v>65</v>
      </c>
      <c r="B169" s="2">
        <v>45717</v>
      </c>
      <c r="C169" t="s">
        <v>15</v>
      </c>
      <c r="D169" t="s">
        <v>16</v>
      </c>
      <c r="E169">
        <v>68040.149999999994</v>
      </c>
      <c r="F169">
        <v>9826</v>
      </c>
      <c r="G169">
        <v>83.9</v>
      </c>
      <c r="H169">
        <f t="shared" si="6"/>
        <v>0</v>
      </c>
      <c r="I169">
        <f t="shared" si="7"/>
        <v>0</v>
      </c>
      <c r="J169">
        <f t="shared" si="8"/>
        <v>1</v>
      </c>
      <c r="K169">
        <v>20</v>
      </c>
      <c r="L169">
        <v>0.125</v>
      </c>
      <c r="M169">
        <v>9.1199999999999992</v>
      </c>
      <c r="N169">
        <v>0</v>
      </c>
      <c r="O169">
        <v>3.6</v>
      </c>
      <c r="P169">
        <v>758138.29</v>
      </c>
      <c r="Q169">
        <v>132975.26</v>
      </c>
    </row>
    <row r="170" spans="1:17">
      <c r="A170" t="s">
        <v>65</v>
      </c>
      <c r="B170" s="2">
        <v>45748</v>
      </c>
      <c r="C170" t="s">
        <v>15</v>
      </c>
      <c r="D170" t="s">
        <v>16</v>
      </c>
      <c r="E170">
        <v>63043.94</v>
      </c>
      <c r="F170">
        <v>10402</v>
      </c>
      <c r="G170">
        <v>93.9</v>
      </c>
      <c r="H170">
        <f t="shared" si="6"/>
        <v>0</v>
      </c>
      <c r="I170">
        <f t="shared" si="7"/>
        <v>0</v>
      </c>
      <c r="J170">
        <f t="shared" si="8"/>
        <v>1</v>
      </c>
      <c r="K170">
        <v>23</v>
      </c>
      <c r="L170">
        <v>0.159</v>
      </c>
      <c r="M170">
        <v>2.71</v>
      </c>
      <c r="N170">
        <v>0</v>
      </c>
      <c r="O170">
        <v>3.1</v>
      </c>
      <c r="P170">
        <v>804264</v>
      </c>
      <c r="Q170">
        <v>167117.91</v>
      </c>
    </row>
    <row r="171" spans="1:17">
      <c r="A171" t="s">
        <v>66</v>
      </c>
      <c r="B171" s="2">
        <v>45658</v>
      </c>
      <c r="C171" t="s">
        <v>27</v>
      </c>
      <c r="D171" t="s">
        <v>21</v>
      </c>
      <c r="E171">
        <v>67494.09</v>
      </c>
      <c r="F171">
        <v>12361</v>
      </c>
      <c r="G171">
        <v>76.599999999999994</v>
      </c>
      <c r="H171">
        <f t="shared" si="6"/>
        <v>0</v>
      </c>
      <c r="I171">
        <f t="shared" si="7"/>
        <v>0</v>
      </c>
      <c r="J171">
        <f t="shared" si="8"/>
        <v>0</v>
      </c>
      <c r="K171">
        <v>24</v>
      </c>
      <c r="L171">
        <v>4.5999999999999999E-2</v>
      </c>
      <c r="M171">
        <v>3.65</v>
      </c>
      <c r="N171">
        <v>1</v>
      </c>
      <c r="O171">
        <v>3.7</v>
      </c>
      <c r="P171">
        <v>887537.75</v>
      </c>
      <c r="Q171">
        <v>160362.92000000001</v>
      </c>
    </row>
    <row r="172" spans="1:17">
      <c r="A172" t="s">
        <v>66</v>
      </c>
      <c r="B172" s="2">
        <v>45689</v>
      </c>
      <c r="C172" t="s">
        <v>27</v>
      </c>
      <c r="D172" t="s">
        <v>21</v>
      </c>
      <c r="E172">
        <v>29389.32</v>
      </c>
      <c r="F172">
        <v>7925</v>
      </c>
      <c r="G172">
        <v>90.9</v>
      </c>
      <c r="H172">
        <f t="shared" si="6"/>
        <v>0</v>
      </c>
      <c r="I172">
        <f t="shared" si="7"/>
        <v>0</v>
      </c>
      <c r="J172">
        <f t="shared" si="8"/>
        <v>0</v>
      </c>
      <c r="K172">
        <v>21</v>
      </c>
      <c r="L172">
        <v>0.17699999999999999</v>
      </c>
      <c r="M172">
        <v>7.86</v>
      </c>
      <c r="N172">
        <v>0</v>
      </c>
      <c r="O172">
        <v>4</v>
      </c>
      <c r="P172">
        <v>783582</v>
      </c>
      <c r="Q172">
        <v>130670.93</v>
      </c>
    </row>
    <row r="173" spans="1:17">
      <c r="A173" t="s">
        <v>66</v>
      </c>
      <c r="B173" s="2">
        <v>45717</v>
      </c>
      <c r="C173" t="s">
        <v>27</v>
      </c>
      <c r="D173" t="s">
        <v>21</v>
      </c>
      <c r="E173">
        <v>40535.089999999997</v>
      </c>
      <c r="F173">
        <v>8870</v>
      </c>
      <c r="G173">
        <v>86.6</v>
      </c>
      <c r="H173">
        <f t="shared" si="6"/>
        <v>0</v>
      </c>
      <c r="I173">
        <f t="shared" si="7"/>
        <v>0</v>
      </c>
      <c r="J173">
        <f t="shared" si="8"/>
        <v>0</v>
      </c>
      <c r="K173">
        <v>21</v>
      </c>
      <c r="L173">
        <v>4.1000000000000002E-2</v>
      </c>
      <c r="M173">
        <v>0.3</v>
      </c>
      <c r="N173">
        <v>0</v>
      </c>
      <c r="O173">
        <v>4.0999999999999996</v>
      </c>
      <c r="P173">
        <v>781955.52</v>
      </c>
      <c r="Q173">
        <v>152578.71</v>
      </c>
    </row>
    <row r="174" spans="1:17">
      <c r="A174" t="s">
        <v>66</v>
      </c>
      <c r="B174" s="2">
        <v>45748</v>
      </c>
      <c r="C174" t="s">
        <v>27</v>
      </c>
      <c r="D174" t="s">
        <v>21</v>
      </c>
      <c r="E174">
        <v>74881.56</v>
      </c>
      <c r="F174">
        <v>9999</v>
      </c>
      <c r="G174">
        <v>89.6</v>
      </c>
      <c r="H174">
        <f t="shared" si="6"/>
        <v>0</v>
      </c>
      <c r="I174">
        <f t="shared" si="7"/>
        <v>0</v>
      </c>
      <c r="J174">
        <f t="shared" si="8"/>
        <v>0</v>
      </c>
      <c r="K174">
        <v>20</v>
      </c>
      <c r="L174">
        <v>1.2999999999999999E-2</v>
      </c>
      <c r="M174">
        <v>8.44</v>
      </c>
      <c r="N174">
        <v>0</v>
      </c>
      <c r="O174">
        <v>4.0999999999999996</v>
      </c>
      <c r="P174">
        <v>898031.04</v>
      </c>
      <c r="Q174">
        <v>138666.5</v>
      </c>
    </row>
    <row r="175" spans="1:17">
      <c r="A175" t="s">
        <v>67</v>
      </c>
      <c r="B175" s="2">
        <v>45658</v>
      </c>
      <c r="C175" t="s">
        <v>27</v>
      </c>
      <c r="D175" t="s">
        <v>16</v>
      </c>
      <c r="E175">
        <v>68491.11</v>
      </c>
      <c r="F175">
        <v>11154</v>
      </c>
      <c r="G175">
        <v>89.4</v>
      </c>
      <c r="H175">
        <f t="shared" si="6"/>
        <v>0</v>
      </c>
      <c r="I175">
        <f t="shared" si="7"/>
        <v>0</v>
      </c>
      <c r="J175">
        <f t="shared" si="8"/>
        <v>1</v>
      </c>
      <c r="K175">
        <v>24</v>
      </c>
      <c r="L175">
        <v>1E-3</v>
      </c>
      <c r="M175">
        <v>5.27</v>
      </c>
      <c r="N175">
        <v>1</v>
      </c>
      <c r="O175">
        <v>3.9</v>
      </c>
      <c r="P175">
        <v>855341.28</v>
      </c>
      <c r="Q175">
        <v>175823.8</v>
      </c>
    </row>
    <row r="176" spans="1:17">
      <c r="A176" t="s">
        <v>67</v>
      </c>
      <c r="B176" s="2">
        <v>45689</v>
      </c>
      <c r="C176" t="s">
        <v>27</v>
      </c>
      <c r="D176" t="s">
        <v>16</v>
      </c>
      <c r="E176">
        <v>45209.25</v>
      </c>
      <c r="F176">
        <v>9287</v>
      </c>
      <c r="G176">
        <v>86.4</v>
      </c>
      <c r="H176">
        <f t="shared" si="6"/>
        <v>0</v>
      </c>
      <c r="I176">
        <f t="shared" si="7"/>
        <v>0</v>
      </c>
      <c r="J176">
        <f t="shared" si="8"/>
        <v>1</v>
      </c>
      <c r="K176">
        <v>22</v>
      </c>
      <c r="L176">
        <v>0.14099999999999999</v>
      </c>
      <c r="M176">
        <v>13.22</v>
      </c>
      <c r="N176">
        <v>0</v>
      </c>
      <c r="O176">
        <v>3.6</v>
      </c>
      <c r="P176">
        <v>751393.88</v>
      </c>
      <c r="Q176">
        <v>91480.320000000007</v>
      </c>
    </row>
    <row r="177" spans="1:17">
      <c r="A177" t="s">
        <v>67</v>
      </c>
      <c r="B177" s="2">
        <v>45717</v>
      </c>
      <c r="C177" t="s">
        <v>27</v>
      </c>
      <c r="D177" t="s">
        <v>16</v>
      </c>
      <c r="E177">
        <v>63010.23</v>
      </c>
      <c r="F177">
        <v>9812</v>
      </c>
      <c r="G177">
        <v>76.8</v>
      </c>
      <c r="H177">
        <f t="shared" si="6"/>
        <v>0</v>
      </c>
      <c r="I177">
        <f t="shared" si="7"/>
        <v>0</v>
      </c>
      <c r="J177">
        <f t="shared" si="8"/>
        <v>1</v>
      </c>
      <c r="K177">
        <v>24</v>
      </c>
      <c r="L177">
        <v>0.113</v>
      </c>
      <c r="M177">
        <v>1.02</v>
      </c>
      <c r="N177">
        <v>1</v>
      </c>
      <c r="O177">
        <v>3.8</v>
      </c>
      <c r="P177">
        <v>761077.08</v>
      </c>
      <c r="Q177">
        <v>113605.93</v>
      </c>
    </row>
    <row r="178" spans="1:17">
      <c r="A178" t="s">
        <v>67</v>
      </c>
      <c r="B178" s="2">
        <v>45748</v>
      </c>
      <c r="C178" t="s">
        <v>27</v>
      </c>
      <c r="D178" t="s">
        <v>16</v>
      </c>
      <c r="E178">
        <v>57948.88</v>
      </c>
      <c r="F178">
        <v>10741</v>
      </c>
      <c r="G178">
        <v>90.1</v>
      </c>
      <c r="H178">
        <f t="shared" si="6"/>
        <v>0</v>
      </c>
      <c r="I178">
        <f t="shared" si="7"/>
        <v>0</v>
      </c>
      <c r="J178">
        <f t="shared" si="8"/>
        <v>1</v>
      </c>
      <c r="K178">
        <v>25</v>
      </c>
      <c r="L178">
        <v>7.0000000000000007E-2</v>
      </c>
      <c r="M178">
        <v>4.03</v>
      </c>
      <c r="N178">
        <v>0</v>
      </c>
      <c r="O178">
        <v>3.1</v>
      </c>
      <c r="P178">
        <v>819660.59</v>
      </c>
      <c r="Q178">
        <v>172699.95</v>
      </c>
    </row>
    <row r="179" spans="1:17">
      <c r="A179" t="s">
        <v>68</v>
      </c>
      <c r="B179" s="2">
        <v>45658</v>
      </c>
      <c r="C179" t="s">
        <v>20</v>
      </c>
      <c r="D179" t="s">
        <v>18</v>
      </c>
      <c r="E179">
        <v>71941.62</v>
      </c>
      <c r="F179">
        <v>6084</v>
      </c>
      <c r="G179">
        <v>93.7</v>
      </c>
      <c r="H179">
        <f t="shared" si="6"/>
        <v>0</v>
      </c>
      <c r="I179">
        <f t="shared" si="7"/>
        <v>1</v>
      </c>
      <c r="J179">
        <f t="shared" si="8"/>
        <v>0</v>
      </c>
      <c r="K179">
        <v>13</v>
      </c>
      <c r="L179">
        <v>7.1999999999999995E-2</v>
      </c>
      <c r="M179">
        <v>2.34</v>
      </c>
      <c r="N179">
        <v>0</v>
      </c>
      <c r="O179">
        <v>4.4000000000000004</v>
      </c>
      <c r="P179">
        <v>681855.56</v>
      </c>
      <c r="Q179">
        <v>117645.61</v>
      </c>
    </row>
    <row r="180" spans="1:17">
      <c r="A180" t="s">
        <v>68</v>
      </c>
      <c r="B180" s="2">
        <v>45689</v>
      </c>
      <c r="C180" t="s">
        <v>20</v>
      </c>
      <c r="D180" t="s">
        <v>18</v>
      </c>
      <c r="E180">
        <v>57147.88</v>
      </c>
      <c r="F180">
        <v>5252</v>
      </c>
      <c r="G180">
        <v>95.5</v>
      </c>
      <c r="H180">
        <f t="shared" si="6"/>
        <v>0</v>
      </c>
      <c r="I180">
        <f t="shared" si="7"/>
        <v>1</v>
      </c>
      <c r="J180">
        <f t="shared" si="8"/>
        <v>0</v>
      </c>
      <c r="K180">
        <v>15</v>
      </c>
      <c r="L180">
        <v>0.161</v>
      </c>
      <c r="M180">
        <v>8.51</v>
      </c>
      <c r="N180">
        <v>0</v>
      </c>
      <c r="O180">
        <v>4.4000000000000004</v>
      </c>
      <c r="P180">
        <v>678311.17</v>
      </c>
      <c r="Q180">
        <v>132029.76000000001</v>
      </c>
    </row>
    <row r="181" spans="1:17">
      <c r="A181" t="s">
        <v>68</v>
      </c>
      <c r="B181" s="2">
        <v>45717</v>
      </c>
      <c r="C181" t="s">
        <v>20</v>
      </c>
      <c r="D181" t="s">
        <v>18</v>
      </c>
      <c r="E181">
        <v>48031.74</v>
      </c>
      <c r="F181">
        <v>6516</v>
      </c>
      <c r="G181">
        <v>99</v>
      </c>
      <c r="H181">
        <f t="shared" si="6"/>
        <v>0</v>
      </c>
      <c r="I181">
        <f t="shared" si="7"/>
        <v>1</v>
      </c>
      <c r="J181">
        <f t="shared" si="8"/>
        <v>0</v>
      </c>
      <c r="K181">
        <v>14</v>
      </c>
      <c r="L181">
        <v>6.7000000000000004E-2</v>
      </c>
      <c r="M181">
        <v>0.48</v>
      </c>
      <c r="N181">
        <v>1</v>
      </c>
      <c r="O181">
        <v>4.3</v>
      </c>
      <c r="P181">
        <v>765906.95</v>
      </c>
      <c r="Q181">
        <v>114005.9</v>
      </c>
    </row>
    <row r="182" spans="1:17">
      <c r="A182" t="s">
        <v>68</v>
      </c>
      <c r="B182" s="2">
        <v>45748</v>
      </c>
      <c r="C182" t="s">
        <v>20</v>
      </c>
      <c r="D182" t="s">
        <v>18</v>
      </c>
      <c r="E182">
        <v>72784.800000000003</v>
      </c>
      <c r="F182">
        <v>7932</v>
      </c>
      <c r="G182">
        <v>74.900000000000006</v>
      </c>
      <c r="H182">
        <f t="shared" si="6"/>
        <v>0</v>
      </c>
      <c r="I182">
        <f t="shared" si="7"/>
        <v>1</v>
      </c>
      <c r="J182">
        <f t="shared" si="8"/>
        <v>0</v>
      </c>
      <c r="K182">
        <v>20</v>
      </c>
      <c r="L182">
        <v>9.4E-2</v>
      </c>
      <c r="M182">
        <v>13.62</v>
      </c>
      <c r="N182">
        <v>0</v>
      </c>
      <c r="O182">
        <v>4.2</v>
      </c>
      <c r="P182">
        <v>712546.38</v>
      </c>
      <c r="Q182">
        <v>101480.04</v>
      </c>
    </row>
    <row r="183" spans="1:17">
      <c r="A183" t="s">
        <v>69</v>
      </c>
      <c r="B183" s="2">
        <v>45658</v>
      </c>
      <c r="C183" t="s">
        <v>15</v>
      </c>
      <c r="D183" t="s">
        <v>18</v>
      </c>
      <c r="E183">
        <v>71641.899999999994</v>
      </c>
      <c r="F183">
        <v>3506</v>
      </c>
      <c r="G183">
        <v>86.4</v>
      </c>
      <c r="H183">
        <f t="shared" si="6"/>
        <v>0</v>
      </c>
      <c r="I183">
        <f t="shared" si="7"/>
        <v>1</v>
      </c>
      <c r="J183">
        <f t="shared" si="8"/>
        <v>0</v>
      </c>
      <c r="K183">
        <v>11</v>
      </c>
      <c r="L183">
        <v>0</v>
      </c>
      <c r="M183">
        <v>7.77</v>
      </c>
      <c r="N183">
        <v>0</v>
      </c>
      <c r="O183">
        <v>4.0999999999999996</v>
      </c>
      <c r="P183">
        <v>625993.82999999996</v>
      </c>
      <c r="Q183">
        <v>98960.320000000007</v>
      </c>
    </row>
    <row r="184" spans="1:17">
      <c r="A184" t="s">
        <v>69</v>
      </c>
      <c r="B184" s="2">
        <v>45689</v>
      </c>
      <c r="C184" t="s">
        <v>15</v>
      </c>
      <c r="D184" t="s">
        <v>18</v>
      </c>
      <c r="E184">
        <v>55788.61</v>
      </c>
      <c r="F184">
        <v>2312</v>
      </c>
      <c r="G184">
        <v>91.3</v>
      </c>
      <c r="H184">
        <f t="shared" si="6"/>
        <v>0</v>
      </c>
      <c r="I184">
        <f t="shared" si="7"/>
        <v>1</v>
      </c>
      <c r="J184">
        <f t="shared" si="8"/>
        <v>0</v>
      </c>
      <c r="K184">
        <v>10</v>
      </c>
      <c r="L184">
        <v>5.8000000000000003E-2</v>
      </c>
      <c r="M184">
        <v>1.99</v>
      </c>
      <c r="N184">
        <v>0</v>
      </c>
      <c r="O184">
        <v>3.8</v>
      </c>
      <c r="P184">
        <v>550962.93000000005</v>
      </c>
      <c r="Q184">
        <v>97144.58</v>
      </c>
    </row>
    <row r="185" spans="1:17">
      <c r="A185" t="s">
        <v>69</v>
      </c>
      <c r="B185" s="2">
        <v>45717</v>
      </c>
      <c r="C185" t="s">
        <v>15</v>
      </c>
      <c r="D185" t="s">
        <v>18</v>
      </c>
      <c r="E185">
        <v>37705.879999999997</v>
      </c>
      <c r="F185">
        <v>1268</v>
      </c>
      <c r="G185">
        <v>84.1</v>
      </c>
      <c r="H185">
        <f t="shared" si="6"/>
        <v>0</v>
      </c>
      <c r="I185">
        <f t="shared" si="7"/>
        <v>1</v>
      </c>
      <c r="J185">
        <f t="shared" si="8"/>
        <v>0</v>
      </c>
      <c r="K185">
        <v>9</v>
      </c>
      <c r="L185">
        <v>0.25900000000000001</v>
      </c>
      <c r="M185">
        <v>4.7699999999999996</v>
      </c>
      <c r="N185">
        <v>0</v>
      </c>
      <c r="O185">
        <v>3.8</v>
      </c>
      <c r="P185">
        <v>443275.59</v>
      </c>
      <c r="Q185">
        <v>53544.36</v>
      </c>
    </row>
    <row r="186" spans="1:17">
      <c r="A186" t="s">
        <v>69</v>
      </c>
      <c r="B186" s="2">
        <v>45748</v>
      </c>
      <c r="C186" t="s">
        <v>15</v>
      </c>
      <c r="D186" t="s">
        <v>18</v>
      </c>
      <c r="E186">
        <v>54966.18</v>
      </c>
      <c r="F186">
        <v>4423</v>
      </c>
      <c r="G186">
        <v>88.7</v>
      </c>
      <c r="H186">
        <f t="shared" si="6"/>
        <v>0</v>
      </c>
      <c r="I186">
        <f t="shared" si="7"/>
        <v>1</v>
      </c>
      <c r="J186">
        <f t="shared" si="8"/>
        <v>0</v>
      </c>
      <c r="K186">
        <v>13</v>
      </c>
      <c r="L186">
        <v>0.186</v>
      </c>
      <c r="M186">
        <v>0.2</v>
      </c>
      <c r="N186">
        <v>0</v>
      </c>
      <c r="O186">
        <v>4.4000000000000004</v>
      </c>
      <c r="P186">
        <v>554012.06999999995</v>
      </c>
      <c r="Q186">
        <v>81101.62</v>
      </c>
    </row>
    <row r="187" spans="1:17">
      <c r="A187" t="s">
        <v>70</v>
      </c>
      <c r="B187" s="2">
        <v>45658</v>
      </c>
      <c r="C187" t="s">
        <v>27</v>
      </c>
      <c r="D187" t="s">
        <v>16</v>
      </c>
      <c r="E187">
        <v>81796.740000000005</v>
      </c>
      <c r="F187">
        <v>6177</v>
      </c>
      <c r="G187">
        <v>87.9</v>
      </c>
      <c r="H187">
        <f t="shared" si="6"/>
        <v>0</v>
      </c>
      <c r="I187">
        <f t="shared" si="7"/>
        <v>0</v>
      </c>
      <c r="J187">
        <f t="shared" si="8"/>
        <v>1</v>
      </c>
      <c r="K187">
        <v>14</v>
      </c>
      <c r="L187">
        <v>0.16400000000000001</v>
      </c>
      <c r="M187">
        <v>0.53</v>
      </c>
      <c r="N187">
        <v>0</v>
      </c>
      <c r="O187">
        <v>3.2</v>
      </c>
      <c r="P187">
        <v>643428.85</v>
      </c>
      <c r="Q187">
        <v>94477.63</v>
      </c>
    </row>
    <row r="188" spans="1:17">
      <c r="A188" t="s">
        <v>70</v>
      </c>
      <c r="B188" s="2">
        <v>45689</v>
      </c>
      <c r="C188" t="s">
        <v>27</v>
      </c>
      <c r="D188" t="s">
        <v>16</v>
      </c>
      <c r="E188">
        <v>51133.43</v>
      </c>
      <c r="F188">
        <v>5150</v>
      </c>
      <c r="G188">
        <v>88.5</v>
      </c>
      <c r="H188">
        <f t="shared" si="6"/>
        <v>0</v>
      </c>
      <c r="I188">
        <f t="shared" si="7"/>
        <v>0</v>
      </c>
      <c r="J188">
        <f t="shared" si="8"/>
        <v>1</v>
      </c>
      <c r="K188">
        <v>12</v>
      </c>
      <c r="L188">
        <v>0.15</v>
      </c>
      <c r="M188">
        <v>1.54</v>
      </c>
      <c r="N188">
        <v>0</v>
      </c>
      <c r="O188">
        <v>3.2</v>
      </c>
      <c r="P188">
        <v>611924.27</v>
      </c>
      <c r="Q188">
        <v>115488.75</v>
      </c>
    </row>
    <row r="189" spans="1:17">
      <c r="A189" t="s">
        <v>70</v>
      </c>
      <c r="B189" s="2">
        <v>45717</v>
      </c>
      <c r="C189" t="s">
        <v>27</v>
      </c>
      <c r="D189" t="s">
        <v>16</v>
      </c>
      <c r="E189">
        <v>40220.18</v>
      </c>
      <c r="F189">
        <v>3783</v>
      </c>
      <c r="G189">
        <v>86.6</v>
      </c>
      <c r="H189">
        <f t="shared" si="6"/>
        <v>0</v>
      </c>
      <c r="I189">
        <f t="shared" si="7"/>
        <v>0</v>
      </c>
      <c r="J189">
        <f t="shared" si="8"/>
        <v>1</v>
      </c>
      <c r="K189">
        <v>14</v>
      </c>
      <c r="L189">
        <v>8.8999999999999996E-2</v>
      </c>
      <c r="M189">
        <v>3.63</v>
      </c>
      <c r="N189">
        <v>0</v>
      </c>
      <c r="O189">
        <v>3.7</v>
      </c>
      <c r="P189">
        <v>559422.02</v>
      </c>
      <c r="Q189">
        <v>73528.740000000005</v>
      </c>
    </row>
    <row r="190" spans="1:17">
      <c r="A190" t="s">
        <v>71</v>
      </c>
      <c r="B190" s="2">
        <v>45658</v>
      </c>
      <c r="C190" t="s">
        <v>20</v>
      </c>
      <c r="D190" t="s">
        <v>16</v>
      </c>
      <c r="E190">
        <v>71851.45</v>
      </c>
      <c r="F190">
        <v>4970</v>
      </c>
      <c r="G190">
        <v>89.6</v>
      </c>
      <c r="H190">
        <f t="shared" si="6"/>
        <v>0</v>
      </c>
      <c r="I190">
        <f t="shared" si="7"/>
        <v>0</v>
      </c>
      <c r="J190">
        <f t="shared" si="8"/>
        <v>1</v>
      </c>
      <c r="K190">
        <v>11</v>
      </c>
      <c r="L190">
        <v>9.8000000000000004E-2</v>
      </c>
      <c r="M190">
        <v>0.2</v>
      </c>
      <c r="N190">
        <v>0</v>
      </c>
      <c r="O190">
        <v>4.2</v>
      </c>
      <c r="P190">
        <v>691447.43</v>
      </c>
      <c r="Q190">
        <v>114077.69</v>
      </c>
    </row>
    <row r="191" spans="1:17">
      <c r="A191" t="s">
        <v>71</v>
      </c>
      <c r="B191" s="2">
        <v>45689</v>
      </c>
      <c r="C191" t="s">
        <v>20</v>
      </c>
      <c r="D191" t="s">
        <v>16</v>
      </c>
      <c r="E191">
        <v>54002.83</v>
      </c>
      <c r="F191">
        <v>4366</v>
      </c>
      <c r="G191">
        <v>90.6</v>
      </c>
      <c r="H191">
        <f t="shared" si="6"/>
        <v>0</v>
      </c>
      <c r="I191">
        <f t="shared" si="7"/>
        <v>0</v>
      </c>
      <c r="J191">
        <f t="shared" si="8"/>
        <v>1</v>
      </c>
      <c r="K191">
        <v>15</v>
      </c>
      <c r="L191">
        <v>2.7E-2</v>
      </c>
      <c r="M191">
        <v>12.82</v>
      </c>
      <c r="N191">
        <v>0</v>
      </c>
      <c r="O191">
        <v>4.5999999999999996</v>
      </c>
      <c r="P191">
        <v>574066.61</v>
      </c>
      <c r="Q191">
        <v>124674.67</v>
      </c>
    </row>
    <row r="192" spans="1:17">
      <c r="A192" t="s">
        <v>71</v>
      </c>
      <c r="B192" s="2">
        <v>45717</v>
      </c>
      <c r="C192" t="s">
        <v>20</v>
      </c>
      <c r="D192" t="s">
        <v>16</v>
      </c>
      <c r="E192">
        <v>54479.33</v>
      </c>
      <c r="F192">
        <v>5012</v>
      </c>
      <c r="G192">
        <v>86</v>
      </c>
      <c r="H192">
        <f t="shared" si="6"/>
        <v>0</v>
      </c>
      <c r="I192">
        <f t="shared" si="7"/>
        <v>0</v>
      </c>
      <c r="J192">
        <f t="shared" si="8"/>
        <v>1</v>
      </c>
      <c r="K192">
        <v>13</v>
      </c>
      <c r="L192">
        <v>0.28399999999999997</v>
      </c>
      <c r="M192">
        <v>2.2400000000000002</v>
      </c>
      <c r="N192">
        <v>1</v>
      </c>
      <c r="O192">
        <v>4.3</v>
      </c>
      <c r="P192">
        <v>578949.84</v>
      </c>
      <c r="Q192">
        <v>80253.649999999994</v>
      </c>
    </row>
    <row r="193" spans="1:17">
      <c r="A193" t="s">
        <v>71</v>
      </c>
      <c r="B193" s="2">
        <v>45748</v>
      </c>
      <c r="C193" t="s">
        <v>20</v>
      </c>
      <c r="D193" t="s">
        <v>16</v>
      </c>
      <c r="E193">
        <v>61391.8</v>
      </c>
      <c r="F193">
        <v>5575</v>
      </c>
      <c r="G193">
        <v>90</v>
      </c>
      <c r="H193">
        <f t="shared" si="6"/>
        <v>0</v>
      </c>
      <c r="I193">
        <f t="shared" si="7"/>
        <v>0</v>
      </c>
      <c r="J193">
        <f t="shared" si="8"/>
        <v>1</v>
      </c>
      <c r="K193">
        <v>18</v>
      </c>
      <c r="L193">
        <v>0.189</v>
      </c>
      <c r="M193">
        <v>1.8</v>
      </c>
      <c r="N193">
        <v>0</v>
      </c>
      <c r="O193">
        <v>4.8</v>
      </c>
      <c r="P193">
        <v>735786.64</v>
      </c>
      <c r="Q193">
        <v>126540.66</v>
      </c>
    </row>
    <row r="194" spans="1:17">
      <c r="A194" t="s">
        <v>72</v>
      </c>
      <c r="B194" s="2">
        <v>45658</v>
      </c>
      <c r="C194" t="s">
        <v>15</v>
      </c>
      <c r="D194" t="s">
        <v>21</v>
      </c>
      <c r="E194">
        <v>22312.93</v>
      </c>
      <c r="F194">
        <v>5955</v>
      </c>
      <c r="G194">
        <v>84.2</v>
      </c>
      <c r="H194">
        <f t="shared" si="6"/>
        <v>0</v>
      </c>
      <c r="I194">
        <f t="shared" si="7"/>
        <v>0</v>
      </c>
      <c r="J194">
        <f t="shared" si="8"/>
        <v>0</v>
      </c>
      <c r="K194">
        <v>13</v>
      </c>
      <c r="L194">
        <v>0.123</v>
      </c>
      <c r="M194">
        <v>0.41</v>
      </c>
      <c r="N194">
        <v>1</v>
      </c>
      <c r="O194">
        <v>4.5999999999999996</v>
      </c>
      <c r="P194">
        <v>598904.9</v>
      </c>
      <c r="Q194">
        <v>72861</v>
      </c>
    </row>
    <row r="195" spans="1:17">
      <c r="A195" t="s">
        <v>72</v>
      </c>
      <c r="B195" s="2">
        <v>45689</v>
      </c>
      <c r="C195" t="s">
        <v>15</v>
      </c>
      <c r="D195" t="s">
        <v>21</v>
      </c>
      <c r="E195">
        <v>78111.97</v>
      </c>
      <c r="F195">
        <v>6389</v>
      </c>
      <c r="G195">
        <v>83.9</v>
      </c>
      <c r="H195">
        <f t="shared" ref="H195:H258" si="9">IF($D195="Mall", 1, 0)</f>
        <v>0</v>
      </c>
      <c r="I195">
        <f t="shared" ref="I195:I258" si="10">IF($D195="High Street", 1, 0)</f>
        <v>0</v>
      </c>
      <c r="J195">
        <f t="shared" ref="J195:J258" si="11">IF($D195="Residential", 1, 0)</f>
        <v>0</v>
      </c>
      <c r="K195">
        <v>13</v>
      </c>
      <c r="L195">
        <v>0.15</v>
      </c>
      <c r="M195">
        <v>3.05</v>
      </c>
      <c r="N195">
        <v>0</v>
      </c>
      <c r="O195">
        <v>4.8</v>
      </c>
      <c r="P195">
        <v>787715.51</v>
      </c>
      <c r="Q195">
        <v>128969.62</v>
      </c>
    </row>
    <row r="196" spans="1:17">
      <c r="A196" t="s">
        <v>72</v>
      </c>
      <c r="B196" s="2">
        <v>45717</v>
      </c>
      <c r="C196" t="s">
        <v>15</v>
      </c>
      <c r="D196" t="s">
        <v>21</v>
      </c>
      <c r="E196">
        <v>35203.230000000003</v>
      </c>
      <c r="F196">
        <v>6896</v>
      </c>
      <c r="G196">
        <v>80.8</v>
      </c>
      <c r="H196">
        <f t="shared" si="9"/>
        <v>0</v>
      </c>
      <c r="I196">
        <f t="shared" si="10"/>
        <v>0</v>
      </c>
      <c r="J196">
        <f t="shared" si="11"/>
        <v>0</v>
      </c>
      <c r="K196">
        <v>14</v>
      </c>
      <c r="L196">
        <v>3.2000000000000001E-2</v>
      </c>
      <c r="M196">
        <v>8.44</v>
      </c>
      <c r="N196">
        <v>1</v>
      </c>
      <c r="O196">
        <v>5</v>
      </c>
      <c r="P196">
        <v>607084.92000000004</v>
      </c>
      <c r="Q196">
        <v>98558.49</v>
      </c>
    </row>
    <row r="197" spans="1:17">
      <c r="A197" t="s">
        <v>72</v>
      </c>
      <c r="B197" s="2">
        <v>45748</v>
      </c>
      <c r="C197" t="s">
        <v>15</v>
      </c>
      <c r="D197" t="s">
        <v>21</v>
      </c>
      <c r="E197">
        <v>64104.28</v>
      </c>
      <c r="F197">
        <v>6015</v>
      </c>
      <c r="G197">
        <v>88.7</v>
      </c>
      <c r="H197">
        <f t="shared" si="9"/>
        <v>0</v>
      </c>
      <c r="I197">
        <f t="shared" si="10"/>
        <v>0</v>
      </c>
      <c r="J197">
        <f t="shared" si="11"/>
        <v>0</v>
      </c>
      <c r="K197">
        <v>15</v>
      </c>
      <c r="L197">
        <v>0.127</v>
      </c>
      <c r="M197">
        <v>0.78</v>
      </c>
      <c r="N197">
        <v>0</v>
      </c>
      <c r="O197">
        <v>4</v>
      </c>
      <c r="P197">
        <v>650795.49</v>
      </c>
      <c r="Q197">
        <v>103035.89</v>
      </c>
    </row>
    <row r="198" spans="1:17">
      <c r="A198" t="s">
        <v>73</v>
      </c>
      <c r="B198" s="2">
        <v>45658</v>
      </c>
      <c r="C198" t="s">
        <v>15</v>
      </c>
      <c r="D198" t="s">
        <v>28</v>
      </c>
      <c r="E198">
        <v>92090.14</v>
      </c>
      <c r="F198">
        <v>9476</v>
      </c>
      <c r="G198">
        <v>94.3</v>
      </c>
      <c r="H198">
        <f t="shared" si="9"/>
        <v>1</v>
      </c>
      <c r="I198">
        <f t="shared" si="10"/>
        <v>0</v>
      </c>
      <c r="J198">
        <f t="shared" si="11"/>
        <v>0</v>
      </c>
      <c r="K198">
        <v>24</v>
      </c>
      <c r="L198">
        <v>7.0000000000000007E-2</v>
      </c>
      <c r="M198">
        <v>0.87</v>
      </c>
      <c r="N198">
        <v>0</v>
      </c>
      <c r="O198">
        <v>3.7</v>
      </c>
      <c r="P198">
        <v>825060.52</v>
      </c>
      <c r="Q198">
        <v>143613.15</v>
      </c>
    </row>
    <row r="199" spans="1:17">
      <c r="A199" t="s">
        <v>73</v>
      </c>
      <c r="B199" s="2">
        <v>45689</v>
      </c>
      <c r="C199" t="s">
        <v>15</v>
      </c>
      <c r="D199" t="s">
        <v>28</v>
      </c>
      <c r="E199">
        <v>54300.87</v>
      </c>
      <c r="F199">
        <v>7875</v>
      </c>
      <c r="G199">
        <v>94.1</v>
      </c>
      <c r="H199">
        <f t="shared" si="9"/>
        <v>1</v>
      </c>
      <c r="I199">
        <f t="shared" si="10"/>
        <v>0</v>
      </c>
      <c r="J199">
        <f t="shared" si="11"/>
        <v>0</v>
      </c>
      <c r="K199">
        <v>19</v>
      </c>
      <c r="L199">
        <v>0.107</v>
      </c>
      <c r="M199">
        <v>0.95</v>
      </c>
      <c r="N199">
        <v>0</v>
      </c>
      <c r="O199">
        <v>3.7</v>
      </c>
      <c r="P199">
        <v>795464.47</v>
      </c>
      <c r="Q199">
        <v>161150.51999999999</v>
      </c>
    </row>
    <row r="200" spans="1:17">
      <c r="A200" t="s">
        <v>73</v>
      </c>
      <c r="B200" s="2">
        <v>45717</v>
      </c>
      <c r="C200" t="s">
        <v>15</v>
      </c>
      <c r="D200" t="s">
        <v>28</v>
      </c>
      <c r="E200">
        <v>37983.35</v>
      </c>
      <c r="F200">
        <v>9283</v>
      </c>
      <c r="G200">
        <v>83.2</v>
      </c>
      <c r="H200">
        <f t="shared" si="9"/>
        <v>1</v>
      </c>
      <c r="I200">
        <f t="shared" si="10"/>
        <v>0</v>
      </c>
      <c r="J200">
        <f t="shared" si="11"/>
        <v>0</v>
      </c>
      <c r="K200">
        <v>19</v>
      </c>
      <c r="L200">
        <v>0.14899999999999999</v>
      </c>
      <c r="M200">
        <v>3.82</v>
      </c>
      <c r="N200">
        <v>0</v>
      </c>
      <c r="O200">
        <v>3.7</v>
      </c>
      <c r="P200">
        <v>671868.59</v>
      </c>
      <c r="Q200">
        <v>71003.28</v>
      </c>
    </row>
    <row r="201" spans="1:17">
      <c r="A201" t="s">
        <v>73</v>
      </c>
      <c r="B201" s="2">
        <v>45748</v>
      </c>
      <c r="C201" t="s">
        <v>15</v>
      </c>
      <c r="D201" t="s">
        <v>28</v>
      </c>
      <c r="E201">
        <v>56413.83</v>
      </c>
      <c r="F201">
        <v>8303</v>
      </c>
      <c r="G201">
        <v>93.6</v>
      </c>
      <c r="H201">
        <f t="shared" si="9"/>
        <v>1</v>
      </c>
      <c r="I201">
        <f t="shared" si="10"/>
        <v>0</v>
      </c>
      <c r="J201">
        <f t="shared" si="11"/>
        <v>0</v>
      </c>
      <c r="K201">
        <v>18</v>
      </c>
      <c r="L201">
        <v>0.11600000000000001</v>
      </c>
      <c r="M201">
        <v>2.7</v>
      </c>
      <c r="N201">
        <v>0</v>
      </c>
      <c r="O201">
        <v>3.7</v>
      </c>
      <c r="P201">
        <v>675917.63</v>
      </c>
      <c r="Q201">
        <v>112564.75</v>
      </c>
    </row>
    <row r="202" spans="1:17">
      <c r="A202" t="s">
        <v>74</v>
      </c>
      <c r="B202" s="2">
        <v>45658</v>
      </c>
      <c r="C202" t="s">
        <v>15</v>
      </c>
      <c r="D202" t="s">
        <v>18</v>
      </c>
      <c r="E202">
        <v>63457.19</v>
      </c>
      <c r="F202">
        <v>10125</v>
      </c>
      <c r="G202">
        <v>87</v>
      </c>
      <c r="H202">
        <f t="shared" si="9"/>
        <v>0</v>
      </c>
      <c r="I202">
        <f t="shared" si="10"/>
        <v>1</v>
      </c>
      <c r="J202">
        <f t="shared" si="11"/>
        <v>0</v>
      </c>
      <c r="K202">
        <v>24</v>
      </c>
      <c r="L202">
        <v>9.7000000000000003E-2</v>
      </c>
      <c r="M202">
        <v>3.84</v>
      </c>
      <c r="N202">
        <v>1</v>
      </c>
      <c r="O202">
        <v>3.7</v>
      </c>
      <c r="P202">
        <v>810446.53</v>
      </c>
      <c r="Q202">
        <v>200575.34</v>
      </c>
    </row>
    <row r="203" spans="1:17">
      <c r="A203" t="s">
        <v>74</v>
      </c>
      <c r="B203" s="2">
        <v>45689</v>
      </c>
      <c r="C203" t="s">
        <v>15</v>
      </c>
      <c r="D203" t="s">
        <v>18</v>
      </c>
      <c r="E203">
        <v>62949.7</v>
      </c>
      <c r="F203">
        <v>9458</v>
      </c>
      <c r="G203">
        <v>84.9</v>
      </c>
      <c r="H203">
        <f t="shared" si="9"/>
        <v>0</v>
      </c>
      <c r="I203">
        <f t="shared" si="10"/>
        <v>1</v>
      </c>
      <c r="J203">
        <f t="shared" si="11"/>
        <v>0</v>
      </c>
      <c r="K203">
        <v>19</v>
      </c>
      <c r="L203">
        <v>0.17100000000000001</v>
      </c>
      <c r="M203">
        <v>5.09</v>
      </c>
      <c r="N203">
        <v>0</v>
      </c>
      <c r="O203">
        <v>3.3</v>
      </c>
      <c r="P203">
        <v>691288.19</v>
      </c>
      <c r="Q203">
        <v>159074.14000000001</v>
      </c>
    </row>
    <row r="204" spans="1:17">
      <c r="A204" t="s">
        <v>74</v>
      </c>
      <c r="B204" s="2">
        <v>45717</v>
      </c>
      <c r="C204" t="s">
        <v>15</v>
      </c>
      <c r="D204" t="s">
        <v>18</v>
      </c>
      <c r="E204">
        <v>107970.19</v>
      </c>
      <c r="F204">
        <v>12870</v>
      </c>
      <c r="G204">
        <v>91.7</v>
      </c>
      <c r="H204">
        <f t="shared" si="9"/>
        <v>0</v>
      </c>
      <c r="I204">
        <f t="shared" si="10"/>
        <v>1</v>
      </c>
      <c r="J204">
        <f t="shared" si="11"/>
        <v>0</v>
      </c>
      <c r="K204">
        <v>31</v>
      </c>
      <c r="L204">
        <v>2.9000000000000001E-2</v>
      </c>
      <c r="M204">
        <v>3.82</v>
      </c>
      <c r="N204">
        <v>1</v>
      </c>
      <c r="O204">
        <v>3.7</v>
      </c>
      <c r="P204">
        <v>946833.54</v>
      </c>
      <c r="Q204">
        <v>184540.31</v>
      </c>
    </row>
    <row r="205" spans="1:17">
      <c r="A205" t="s">
        <v>74</v>
      </c>
      <c r="B205" s="2">
        <v>45748</v>
      </c>
      <c r="C205" t="s">
        <v>15</v>
      </c>
      <c r="D205" t="s">
        <v>18</v>
      </c>
      <c r="E205">
        <v>49405.75</v>
      </c>
      <c r="F205">
        <v>9752</v>
      </c>
      <c r="G205">
        <v>87</v>
      </c>
      <c r="H205">
        <f t="shared" si="9"/>
        <v>0</v>
      </c>
      <c r="I205">
        <f t="shared" si="10"/>
        <v>1</v>
      </c>
      <c r="J205">
        <f t="shared" si="11"/>
        <v>0</v>
      </c>
      <c r="K205">
        <v>21</v>
      </c>
      <c r="L205">
        <v>9.2999999999999999E-2</v>
      </c>
      <c r="M205">
        <v>12.28</v>
      </c>
      <c r="N205">
        <v>0</v>
      </c>
      <c r="O205">
        <v>4.0999999999999996</v>
      </c>
      <c r="P205">
        <v>761963.23</v>
      </c>
      <c r="Q205">
        <v>150113.60999999999</v>
      </c>
    </row>
    <row r="206" spans="1:17">
      <c r="A206" t="s">
        <v>75</v>
      </c>
      <c r="B206" s="2">
        <v>45658</v>
      </c>
      <c r="C206" t="s">
        <v>27</v>
      </c>
      <c r="D206" t="s">
        <v>16</v>
      </c>
      <c r="E206">
        <v>50887.46</v>
      </c>
      <c r="F206">
        <v>9505</v>
      </c>
      <c r="G206">
        <v>89.7</v>
      </c>
      <c r="H206">
        <f t="shared" si="9"/>
        <v>0</v>
      </c>
      <c r="I206">
        <f t="shared" si="10"/>
        <v>0</v>
      </c>
      <c r="J206">
        <f t="shared" si="11"/>
        <v>1</v>
      </c>
      <c r="K206">
        <v>25</v>
      </c>
      <c r="L206">
        <v>9.0999999999999998E-2</v>
      </c>
      <c r="M206">
        <v>2.8</v>
      </c>
      <c r="N206">
        <v>0</v>
      </c>
      <c r="O206">
        <v>4.3</v>
      </c>
      <c r="P206">
        <v>812152.6</v>
      </c>
      <c r="Q206">
        <v>138419.43</v>
      </c>
    </row>
    <row r="207" spans="1:17">
      <c r="A207" t="s">
        <v>75</v>
      </c>
      <c r="B207" s="2">
        <v>45689</v>
      </c>
      <c r="C207" t="s">
        <v>27</v>
      </c>
      <c r="D207" t="s">
        <v>16</v>
      </c>
      <c r="E207">
        <v>41819.449999999997</v>
      </c>
      <c r="F207">
        <v>9412</v>
      </c>
      <c r="G207">
        <v>91</v>
      </c>
      <c r="H207">
        <f t="shared" si="9"/>
        <v>0</v>
      </c>
      <c r="I207">
        <f t="shared" si="10"/>
        <v>0</v>
      </c>
      <c r="J207">
        <f t="shared" si="11"/>
        <v>1</v>
      </c>
      <c r="K207">
        <v>22</v>
      </c>
      <c r="L207">
        <v>0.15</v>
      </c>
      <c r="M207">
        <v>3.67</v>
      </c>
      <c r="N207">
        <v>0</v>
      </c>
      <c r="O207">
        <v>4.2</v>
      </c>
      <c r="P207">
        <v>804975.5</v>
      </c>
      <c r="Q207">
        <v>140054.5</v>
      </c>
    </row>
    <row r="208" spans="1:17">
      <c r="A208" t="s">
        <v>75</v>
      </c>
      <c r="B208" s="2">
        <v>45717</v>
      </c>
      <c r="C208" t="s">
        <v>27</v>
      </c>
      <c r="D208" t="s">
        <v>16</v>
      </c>
      <c r="E208">
        <v>35296.54</v>
      </c>
      <c r="F208">
        <v>9644</v>
      </c>
      <c r="G208">
        <v>88</v>
      </c>
      <c r="H208">
        <f t="shared" si="9"/>
        <v>0</v>
      </c>
      <c r="I208">
        <f t="shared" si="10"/>
        <v>0</v>
      </c>
      <c r="J208">
        <f t="shared" si="11"/>
        <v>1</v>
      </c>
      <c r="K208">
        <v>22</v>
      </c>
      <c r="L208">
        <v>0</v>
      </c>
      <c r="M208">
        <v>2.81</v>
      </c>
      <c r="N208">
        <v>0</v>
      </c>
      <c r="O208">
        <v>4.7</v>
      </c>
      <c r="P208">
        <v>752321.72</v>
      </c>
      <c r="Q208">
        <v>137788.51</v>
      </c>
    </row>
    <row r="209" spans="1:17">
      <c r="A209" t="s">
        <v>75</v>
      </c>
      <c r="B209" s="2">
        <v>45748</v>
      </c>
      <c r="C209" t="s">
        <v>27</v>
      </c>
      <c r="D209" t="s">
        <v>16</v>
      </c>
      <c r="E209">
        <v>47391.09</v>
      </c>
      <c r="F209">
        <v>11224</v>
      </c>
      <c r="G209">
        <v>88.4</v>
      </c>
      <c r="H209">
        <f t="shared" si="9"/>
        <v>0</v>
      </c>
      <c r="I209">
        <f t="shared" si="10"/>
        <v>0</v>
      </c>
      <c r="J209">
        <f t="shared" si="11"/>
        <v>1</v>
      </c>
      <c r="K209">
        <v>25</v>
      </c>
      <c r="L209">
        <v>0.14699999999999999</v>
      </c>
      <c r="M209">
        <v>2.44</v>
      </c>
      <c r="N209">
        <v>0</v>
      </c>
      <c r="O209">
        <v>4.9000000000000004</v>
      </c>
      <c r="P209">
        <v>836908.24</v>
      </c>
      <c r="Q209">
        <v>141090.26</v>
      </c>
    </row>
    <row r="210" spans="1:17">
      <c r="A210" t="s">
        <v>76</v>
      </c>
      <c r="B210" s="2">
        <v>45658</v>
      </c>
      <c r="C210" t="s">
        <v>20</v>
      </c>
      <c r="D210" t="s">
        <v>21</v>
      </c>
      <c r="E210">
        <v>69180.539999999994</v>
      </c>
      <c r="F210">
        <v>5394</v>
      </c>
      <c r="G210">
        <v>82.9</v>
      </c>
      <c r="H210">
        <f t="shared" si="9"/>
        <v>0</v>
      </c>
      <c r="I210">
        <f t="shared" si="10"/>
        <v>0</v>
      </c>
      <c r="J210">
        <f t="shared" si="11"/>
        <v>0</v>
      </c>
      <c r="K210">
        <v>12</v>
      </c>
      <c r="L210">
        <v>0.126</v>
      </c>
      <c r="M210">
        <v>3.27</v>
      </c>
      <c r="N210">
        <v>0</v>
      </c>
      <c r="O210">
        <v>3.3</v>
      </c>
      <c r="P210">
        <v>674289.1</v>
      </c>
      <c r="Q210">
        <v>117773.79</v>
      </c>
    </row>
    <row r="211" spans="1:17">
      <c r="A211" t="s">
        <v>76</v>
      </c>
      <c r="B211" s="2">
        <v>45689</v>
      </c>
      <c r="C211" t="s">
        <v>20</v>
      </c>
      <c r="D211" t="s">
        <v>21</v>
      </c>
      <c r="E211">
        <v>33987.33</v>
      </c>
      <c r="F211">
        <v>5014</v>
      </c>
      <c r="G211">
        <v>94.3</v>
      </c>
      <c r="H211">
        <f t="shared" si="9"/>
        <v>0</v>
      </c>
      <c r="I211">
        <f t="shared" si="10"/>
        <v>0</v>
      </c>
      <c r="J211">
        <f t="shared" si="11"/>
        <v>0</v>
      </c>
      <c r="K211">
        <v>17</v>
      </c>
      <c r="L211">
        <v>0.246</v>
      </c>
      <c r="M211">
        <v>10.34</v>
      </c>
      <c r="N211">
        <v>0</v>
      </c>
      <c r="O211">
        <v>3.9</v>
      </c>
      <c r="P211">
        <v>622892.42000000004</v>
      </c>
      <c r="Q211">
        <v>101032.52</v>
      </c>
    </row>
    <row r="212" spans="1:17">
      <c r="A212" t="s">
        <v>76</v>
      </c>
      <c r="B212" s="2">
        <v>45717</v>
      </c>
      <c r="C212" t="s">
        <v>20</v>
      </c>
      <c r="D212" t="s">
        <v>21</v>
      </c>
      <c r="E212">
        <v>58785.33</v>
      </c>
      <c r="F212">
        <v>4467</v>
      </c>
      <c r="G212">
        <v>90.7</v>
      </c>
      <c r="H212">
        <f t="shared" si="9"/>
        <v>0</v>
      </c>
      <c r="I212">
        <f t="shared" si="10"/>
        <v>0</v>
      </c>
      <c r="J212">
        <f t="shared" si="11"/>
        <v>0</v>
      </c>
      <c r="K212">
        <v>14</v>
      </c>
      <c r="L212">
        <v>0.22900000000000001</v>
      </c>
      <c r="M212">
        <v>1.92</v>
      </c>
      <c r="N212">
        <v>0</v>
      </c>
      <c r="O212">
        <v>3.7</v>
      </c>
      <c r="P212">
        <v>673348.56</v>
      </c>
      <c r="Q212">
        <v>69464.59</v>
      </c>
    </row>
    <row r="213" spans="1:17">
      <c r="A213" t="s">
        <v>76</v>
      </c>
      <c r="B213" s="2">
        <v>45748</v>
      </c>
      <c r="C213" t="s">
        <v>20</v>
      </c>
      <c r="D213" t="s">
        <v>21</v>
      </c>
      <c r="E213">
        <v>16451.849999999999</v>
      </c>
      <c r="F213">
        <v>4678</v>
      </c>
      <c r="G213">
        <v>95.9</v>
      </c>
      <c r="H213">
        <f t="shared" si="9"/>
        <v>0</v>
      </c>
      <c r="I213">
        <f t="shared" si="10"/>
        <v>0</v>
      </c>
      <c r="J213">
        <f t="shared" si="11"/>
        <v>0</v>
      </c>
      <c r="K213">
        <v>11</v>
      </c>
      <c r="L213">
        <v>0.13300000000000001</v>
      </c>
      <c r="M213">
        <v>3.1</v>
      </c>
      <c r="N213">
        <v>0</v>
      </c>
      <c r="O213">
        <v>3.9</v>
      </c>
      <c r="P213">
        <v>606278.30000000005</v>
      </c>
      <c r="Q213">
        <v>102213.26</v>
      </c>
    </row>
    <row r="214" spans="1:17">
      <c r="A214" t="s">
        <v>77</v>
      </c>
      <c r="B214" s="2">
        <v>45658</v>
      </c>
      <c r="C214" t="s">
        <v>15</v>
      </c>
      <c r="D214" t="s">
        <v>18</v>
      </c>
      <c r="E214">
        <v>53367.73</v>
      </c>
      <c r="F214">
        <v>7291</v>
      </c>
      <c r="G214">
        <v>90.6</v>
      </c>
      <c r="H214">
        <f t="shared" si="9"/>
        <v>0</v>
      </c>
      <c r="I214">
        <f t="shared" si="10"/>
        <v>1</v>
      </c>
      <c r="J214">
        <f t="shared" si="11"/>
        <v>0</v>
      </c>
      <c r="K214">
        <v>18</v>
      </c>
      <c r="L214">
        <v>0.14599999999999999</v>
      </c>
      <c r="M214">
        <v>6.34</v>
      </c>
      <c r="N214">
        <v>1</v>
      </c>
      <c r="O214">
        <v>3.8</v>
      </c>
      <c r="P214">
        <v>712219.81</v>
      </c>
      <c r="Q214">
        <v>85906.54</v>
      </c>
    </row>
    <row r="215" spans="1:17">
      <c r="A215" t="s">
        <v>77</v>
      </c>
      <c r="B215" s="2">
        <v>45689</v>
      </c>
      <c r="C215" t="s">
        <v>15</v>
      </c>
      <c r="D215" t="s">
        <v>18</v>
      </c>
      <c r="E215">
        <v>27194.639999999999</v>
      </c>
      <c r="F215">
        <v>7404</v>
      </c>
      <c r="G215">
        <v>90.2</v>
      </c>
      <c r="H215">
        <f t="shared" si="9"/>
        <v>0</v>
      </c>
      <c r="I215">
        <f t="shared" si="10"/>
        <v>1</v>
      </c>
      <c r="J215">
        <f t="shared" si="11"/>
        <v>0</v>
      </c>
      <c r="K215">
        <v>18</v>
      </c>
      <c r="L215">
        <v>8.7999999999999995E-2</v>
      </c>
      <c r="M215">
        <v>1.2</v>
      </c>
      <c r="N215">
        <v>0</v>
      </c>
      <c r="O215">
        <v>3.4</v>
      </c>
      <c r="P215">
        <v>672670.54</v>
      </c>
      <c r="Q215">
        <v>132684.18</v>
      </c>
    </row>
    <row r="216" spans="1:17">
      <c r="A216" t="s">
        <v>77</v>
      </c>
      <c r="B216" s="2">
        <v>45717</v>
      </c>
      <c r="C216" t="s">
        <v>15</v>
      </c>
      <c r="D216" t="s">
        <v>18</v>
      </c>
      <c r="E216">
        <v>66962.740000000005</v>
      </c>
      <c r="F216">
        <v>7880</v>
      </c>
      <c r="G216">
        <v>90.4</v>
      </c>
      <c r="H216">
        <f t="shared" si="9"/>
        <v>0</v>
      </c>
      <c r="I216">
        <f t="shared" si="10"/>
        <v>1</v>
      </c>
      <c r="J216">
        <f t="shared" si="11"/>
        <v>0</v>
      </c>
      <c r="K216">
        <v>19</v>
      </c>
      <c r="L216">
        <v>0.11600000000000001</v>
      </c>
      <c r="M216">
        <v>4.5</v>
      </c>
      <c r="N216">
        <v>0</v>
      </c>
      <c r="O216">
        <v>3.3</v>
      </c>
      <c r="P216">
        <v>732667.92</v>
      </c>
      <c r="Q216">
        <v>128654.46</v>
      </c>
    </row>
    <row r="217" spans="1:17">
      <c r="A217" t="s">
        <v>77</v>
      </c>
      <c r="B217" s="2">
        <v>45748</v>
      </c>
      <c r="C217" t="s">
        <v>15</v>
      </c>
      <c r="D217" t="s">
        <v>18</v>
      </c>
      <c r="E217">
        <v>73540.990000000005</v>
      </c>
      <c r="F217">
        <v>8773</v>
      </c>
      <c r="G217">
        <v>84.4</v>
      </c>
      <c r="H217">
        <f t="shared" si="9"/>
        <v>0</v>
      </c>
      <c r="I217">
        <f t="shared" si="10"/>
        <v>1</v>
      </c>
      <c r="J217">
        <f t="shared" si="11"/>
        <v>0</v>
      </c>
      <c r="K217">
        <v>21</v>
      </c>
      <c r="L217">
        <v>3.5000000000000003E-2</v>
      </c>
      <c r="M217">
        <v>6.68</v>
      </c>
      <c r="N217">
        <v>0</v>
      </c>
      <c r="O217">
        <v>3.6</v>
      </c>
      <c r="P217">
        <v>723531.4</v>
      </c>
      <c r="Q217">
        <v>108794.85</v>
      </c>
    </row>
    <row r="218" spans="1:17">
      <c r="A218" t="s">
        <v>78</v>
      </c>
      <c r="B218" s="2">
        <v>45658</v>
      </c>
      <c r="C218" t="s">
        <v>15</v>
      </c>
      <c r="D218" t="s">
        <v>28</v>
      </c>
      <c r="E218">
        <v>68212.289999999994</v>
      </c>
      <c r="F218">
        <v>4713</v>
      </c>
      <c r="G218">
        <v>82.6</v>
      </c>
      <c r="H218">
        <f t="shared" si="9"/>
        <v>1</v>
      </c>
      <c r="I218">
        <f t="shared" si="10"/>
        <v>0</v>
      </c>
      <c r="J218">
        <f t="shared" si="11"/>
        <v>0</v>
      </c>
      <c r="K218">
        <v>15</v>
      </c>
      <c r="L218">
        <v>0.19800000000000001</v>
      </c>
      <c r="M218">
        <v>4.07</v>
      </c>
      <c r="N218">
        <v>1</v>
      </c>
      <c r="O218">
        <v>3</v>
      </c>
      <c r="P218">
        <v>641564.6</v>
      </c>
      <c r="Q218">
        <v>90468.96</v>
      </c>
    </row>
    <row r="219" spans="1:17">
      <c r="A219" t="s">
        <v>78</v>
      </c>
      <c r="B219" s="2">
        <v>45689</v>
      </c>
      <c r="C219" t="s">
        <v>15</v>
      </c>
      <c r="D219" t="s">
        <v>28</v>
      </c>
      <c r="E219">
        <v>57225.98</v>
      </c>
      <c r="F219">
        <v>2842</v>
      </c>
      <c r="G219">
        <v>79.5</v>
      </c>
      <c r="H219">
        <f t="shared" si="9"/>
        <v>1</v>
      </c>
      <c r="I219">
        <f t="shared" si="10"/>
        <v>0</v>
      </c>
      <c r="J219">
        <f t="shared" si="11"/>
        <v>0</v>
      </c>
      <c r="K219">
        <v>10</v>
      </c>
      <c r="L219">
        <v>0.112</v>
      </c>
      <c r="M219">
        <v>5.45</v>
      </c>
      <c r="N219">
        <v>0</v>
      </c>
      <c r="O219">
        <v>3.4</v>
      </c>
      <c r="P219">
        <v>536545.49</v>
      </c>
      <c r="Q219">
        <v>97917.45</v>
      </c>
    </row>
    <row r="220" spans="1:17">
      <c r="A220" t="s">
        <v>78</v>
      </c>
      <c r="B220" s="2">
        <v>45717</v>
      </c>
      <c r="C220" t="s">
        <v>15</v>
      </c>
      <c r="D220" t="s">
        <v>28</v>
      </c>
      <c r="E220">
        <v>42932.02</v>
      </c>
      <c r="F220">
        <v>3872</v>
      </c>
      <c r="G220">
        <v>83.2</v>
      </c>
      <c r="H220">
        <f t="shared" si="9"/>
        <v>1</v>
      </c>
      <c r="I220">
        <f t="shared" si="10"/>
        <v>0</v>
      </c>
      <c r="J220">
        <f t="shared" si="11"/>
        <v>0</v>
      </c>
      <c r="K220">
        <v>12</v>
      </c>
      <c r="L220">
        <v>0.17100000000000001</v>
      </c>
      <c r="M220">
        <v>15.58</v>
      </c>
      <c r="N220">
        <v>0</v>
      </c>
      <c r="O220">
        <v>3.3</v>
      </c>
      <c r="P220">
        <v>527681.56000000006</v>
      </c>
      <c r="Q220">
        <v>63153.05</v>
      </c>
    </row>
    <row r="221" spans="1:17">
      <c r="A221" t="s">
        <v>79</v>
      </c>
      <c r="B221" s="2">
        <v>45658</v>
      </c>
      <c r="C221" t="s">
        <v>15</v>
      </c>
      <c r="D221" t="s">
        <v>18</v>
      </c>
      <c r="E221">
        <v>37324.230000000003</v>
      </c>
      <c r="F221">
        <v>5957</v>
      </c>
      <c r="G221">
        <v>85.9</v>
      </c>
      <c r="H221">
        <f t="shared" si="9"/>
        <v>0</v>
      </c>
      <c r="I221">
        <f t="shared" si="10"/>
        <v>1</v>
      </c>
      <c r="J221">
        <f t="shared" si="11"/>
        <v>0</v>
      </c>
      <c r="K221">
        <v>12</v>
      </c>
      <c r="L221">
        <v>7.0999999999999994E-2</v>
      </c>
      <c r="M221">
        <v>0.37</v>
      </c>
      <c r="N221">
        <v>0</v>
      </c>
      <c r="O221">
        <v>3.8</v>
      </c>
      <c r="P221">
        <v>570963.31000000006</v>
      </c>
      <c r="Q221">
        <v>87342.25</v>
      </c>
    </row>
    <row r="222" spans="1:17">
      <c r="A222" t="s">
        <v>79</v>
      </c>
      <c r="B222" s="2">
        <v>45689</v>
      </c>
      <c r="C222" t="s">
        <v>15</v>
      </c>
      <c r="D222" t="s">
        <v>18</v>
      </c>
      <c r="E222">
        <v>113736</v>
      </c>
      <c r="F222">
        <v>8961</v>
      </c>
      <c r="G222">
        <v>86.2</v>
      </c>
      <c r="H222">
        <f t="shared" si="9"/>
        <v>0</v>
      </c>
      <c r="I222">
        <f t="shared" si="10"/>
        <v>1</v>
      </c>
      <c r="J222">
        <f t="shared" si="11"/>
        <v>0</v>
      </c>
      <c r="K222">
        <v>24</v>
      </c>
      <c r="L222">
        <v>0.20200000000000001</v>
      </c>
      <c r="M222">
        <v>21.63</v>
      </c>
      <c r="N222">
        <v>0</v>
      </c>
      <c r="O222">
        <v>4</v>
      </c>
      <c r="P222">
        <v>870937.4</v>
      </c>
      <c r="Q222">
        <v>175282.74</v>
      </c>
    </row>
    <row r="223" spans="1:17">
      <c r="A223" t="s">
        <v>79</v>
      </c>
      <c r="B223" s="2">
        <v>45717</v>
      </c>
      <c r="C223" t="s">
        <v>15</v>
      </c>
      <c r="D223" t="s">
        <v>18</v>
      </c>
      <c r="E223">
        <v>33173.949999999997</v>
      </c>
      <c r="F223">
        <v>6545</v>
      </c>
      <c r="G223">
        <v>84.4</v>
      </c>
      <c r="H223">
        <f t="shared" si="9"/>
        <v>0</v>
      </c>
      <c r="I223">
        <f t="shared" si="10"/>
        <v>1</v>
      </c>
      <c r="J223">
        <f t="shared" si="11"/>
        <v>0</v>
      </c>
      <c r="K223">
        <v>15</v>
      </c>
      <c r="L223">
        <v>0.16900000000000001</v>
      </c>
      <c r="M223">
        <v>2.48</v>
      </c>
      <c r="N223">
        <v>0</v>
      </c>
      <c r="O223">
        <v>3.9</v>
      </c>
      <c r="P223">
        <v>596969.27</v>
      </c>
      <c r="Q223">
        <v>105669.51</v>
      </c>
    </row>
    <row r="224" spans="1:17">
      <c r="A224" t="s">
        <v>80</v>
      </c>
      <c r="B224" s="2">
        <v>45658</v>
      </c>
      <c r="C224" t="s">
        <v>27</v>
      </c>
      <c r="D224" t="s">
        <v>16</v>
      </c>
      <c r="E224">
        <v>47241.919999999998</v>
      </c>
      <c r="F224">
        <v>4264</v>
      </c>
      <c r="G224">
        <v>95.3</v>
      </c>
      <c r="H224">
        <f t="shared" si="9"/>
        <v>0</v>
      </c>
      <c r="I224">
        <f t="shared" si="10"/>
        <v>0</v>
      </c>
      <c r="J224">
        <f t="shared" si="11"/>
        <v>1</v>
      </c>
      <c r="K224">
        <v>13</v>
      </c>
      <c r="L224">
        <v>6.9000000000000006E-2</v>
      </c>
      <c r="M224">
        <v>0.85</v>
      </c>
      <c r="N224">
        <v>0</v>
      </c>
      <c r="O224">
        <v>4.3</v>
      </c>
      <c r="P224">
        <v>658072.14</v>
      </c>
      <c r="Q224">
        <v>110595.89</v>
      </c>
    </row>
    <row r="225" spans="1:17">
      <c r="A225" t="s">
        <v>80</v>
      </c>
      <c r="B225" s="2">
        <v>45689</v>
      </c>
      <c r="C225" t="s">
        <v>27</v>
      </c>
      <c r="D225" t="s">
        <v>16</v>
      </c>
      <c r="E225">
        <v>61650.79</v>
      </c>
      <c r="F225">
        <v>5321</v>
      </c>
      <c r="G225">
        <v>89.2</v>
      </c>
      <c r="H225">
        <f t="shared" si="9"/>
        <v>0</v>
      </c>
      <c r="I225">
        <f t="shared" si="10"/>
        <v>0</v>
      </c>
      <c r="J225">
        <f t="shared" si="11"/>
        <v>1</v>
      </c>
      <c r="K225">
        <v>17</v>
      </c>
      <c r="L225">
        <v>0.126</v>
      </c>
      <c r="M225">
        <v>2.13</v>
      </c>
      <c r="N225">
        <v>0</v>
      </c>
      <c r="O225">
        <v>4</v>
      </c>
      <c r="P225">
        <v>723305.11</v>
      </c>
      <c r="Q225">
        <v>128468.7</v>
      </c>
    </row>
    <row r="226" spans="1:17">
      <c r="A226" t="s">
        <v>80</v>
      </c>
      <c r="B226" s="2">
        <v>45717</v>
      </c>
      <c r="C226" t="s">
        <v>27</v>
      </c>
      <c r="D226" t="s">
        <v>16</v>
      </c>
      <c r="E226">
        <v>62582.71</v>
      </c>
      <c r="F226">
        <v>5479</v>
      </c>
      <c r="G226">
        <v>81.2</v>
      </c>
      <c r="H226">
        <f t="shared" si="9"/>
        <v>0</v>
      </c>
      <c r="I226">
        <f t="shared" si="10"/>
        <v>0</v>
      </c>
      <c r="J226">
        <f t="shared" si="11"/>
        <v>1</v>
      </c>
      <c r="K226">
        <v>16</v>
      </c>
      <c r="L226">
        <v>4.8000000000000001E-2</v>
      </c>
      <c r="M226">
        <v>1.46</v>
      </c>
      <c r="N226">
        <v>0</v>
      </c>
      <c r="O226">
        <v>4.5</v>
      </c>
      <c r="P226">
        <v>640666.53</v>
      </c>
      <c r="Q226">
        <v>134919.16</v>
      </c>
    </row>
    <row r="227" spans="1:17">
      <c r="A227" t="s">
        <v>80</v>
      </c>
      <c r="B227" s="2">
        <v>45748</v>
      </c>
      <c r="C227" t="s">
        <v>27</v>
      </c>
      <c r="D227" t="s">
        <v>16</v>
      </c>
      <c r="E227">
        <v>47944.14</v>
      </c>
      <c r="F227">
        <v>6169</v>
      </c>
      <c r="G227">
        <v>92.2</v>
      </c>
      <c r="H227">
        <f t="shared" si="9"/>
        <v>0</v>
      </c>
      <c r="I227">
        <f t="shared" si="10"/>
        <v>0</v>
      </c>
      <c r="J227">
        <f t="shared" si="11"/>
        <v>1</v>
      </c>
      <c r="K227">
        <v>17</v>
      </c>
      <c r="L227">
        <v>0.11899999999999999</v>
      </c>
      <c r="M227">
        <v>3.02</v>
      </c>
      <c r="N227">
        <v>0</v>
      </c>
      <c r="O227">
        <v>4.0999999999999996</v>
      </c>
      <c r="P227">
        <v>670629.48</v>
      </c>
      <c r="Q227">
        <v>100140.8</v>
      </c>
    </row>
    <row r="228" spans="1:17">
      <c r="A228" t="s">
        <v>81</v>
      </c>
      <c r="B228" s="2">
        <v>45658</v>
      </c>
      <c r="C228" t="s">
        <v>27</v>
      </c>
      <c r="D228" t="s">
        <v>28</v>
      </c>
      <c r="E228">
        <v>46495.4</v>
      </c>
      <c r="F228">
        <v>9908</v>
      </c>
      <c r="G228">
        <v>89.4</v>
      </c>
      <c r="H228">
        <f t="shared" si="9"/>
        <v>1</v>
      </c>
      <c r="I228">
        <f t="shared" si="10"/>
        <v>0</v>
      </c>
      <c r="J228">
        <f t="shared" si="11"/>
        <v>0</v>
      </c>
      <c r="K228">
        <v>22</v>
      </c>
      <c r="L228">
        <v>0.121</v>
      </c>
      <c r="M228">
        <v>3.22</v>
      </c>
      <c r="N228">
        <v>0</v>
      </c>
      <c r="O228">
        <v>3.7</v>
      </c>
      <c r="P228">
        <v>721079.35</v>
      </c>
      <c r="Q228">
        <v>115295.05</v>
      </c>
    </row>
    <row r="229" spans="1:17">
      <c r="A229" t="s">
        <v>81</v>
      </c>
      <c r="B229" s="2">
        <v>45689</v>
      </c>
      <c r="C229" t="s">
        <v>27</v>
      </c>
      <c r="D229" t="s">
        <v>28</v>
      </c>
      <c r="E229">
        <v>72961.95</v>
      </c>
      <c r="F229">
        <v>9996</v>
      </c>
      <c r="G229">
        <v>89.1</v>
      </c>
      <c r="H229">
        <f t="shared" si="9"/>
        <v>1</v>
      </c>
      <c r="I229">
        <f t="shared" si="10"/>
        <v>0</v>
      </c>
      <c r="J229">
        <f t="shared" si="11"/>
        <v>0</v>
      </c>
      <c r="K229">
        <v>22</v>
      </c>
      <c r="L229">
        <v>0.106</v>
      </c>
      <c r="M229">
        <v>15.66</v>
      </c>
      <c r="N229">
        <v>0</v>
      </c>
      <c r="O229">
        <v>3.4</v>
      </c>
      <c r="P229">
        <v>810355.02</v>
      </c>
      <c r="Q229">
        <v>131510</v>
      </c>
    </row>
    <row r="230" spans="1:17">
      <c r="A230" t="s">
        <v>81</v>
      </c>
      <c r="B230" s="2">
        <v>45717</v>
      </c>
      <c r="C230" t="s">
        <v>27</v>
      </c>
      <c r="D230" t="s">
        <v>28</v>
      </c>
      <c r="E230">
        <v>59060.05</v>
      </c>
      <c r="F230">
        <v>9702</v>
      </c>
      <c r="G230">
        <v>80.900000000000006</v>
      </c>
      <c r="H230">
        <f t="shared" si="9"/>
        <v>1</v>
      </c>
      <c r="I230">
        <f t="shared" si="10"/>
        <v>0</v>
      </c>
      <c r="J230">
        <f t="shared" si="11"/>
        <v>0</v>
      </c>
      <c r="K230">
        <v>23</v>
      </c>
      <c r="L230">
        <v>0.20100000000000001</v>
      </c>
      <c r="M230">
        <v>6.96</v>
      </c>
      <c r="N230">
        <v>0</v>
      </c>
      <c r="O230">
        <v>3.2</v>
      </c>
      <c r="P230">
        <v>761919.25</v>
      </c>
      <c r="Q230">
        <v>111893.06</v>
      </c>
    </row>
    <row r="231" spans="1:17">
      <c r="A231" t="s">
        <v>81</v>
      </c>
      <c r="B231" s="2">
        <v>45748</v>
      </c>
      <c r="C231" t="s">
        <v>27</v>
      </c>
      <c r="D231" t="s">
        <v>28</v>
      </c>
      <c r="E231">
        <v>26248.1</v>
      </c>
      <c r="F231">
        <v>9314</v>
      </c>
      <c r="G231">
        <v>83.7</v>
      </c>
      <c r="H231">
        <f t="shared" si="9"/>
        <v>1</v>
      </c>
      <c r="I231">
        <f t="shared" si="10"/>
        <v>0</v>
      </c>
      <c r="J231">
        <f t="shared" si="11"/>
        <v>0</v>
      </c>
      <c r="K231">
        <v>21</v>
      </c>
      <c r="L231">
        <v>0.186</v>
      </c>
      <c r="M231">
        <v>4.62</v>
      </c>
      <c r="N231">
        <v>0</v>
      </c>
      <c r="O231">
        <v>3.3</v>
      </c>
      <c r="P231">
        <v>737070.18</v>
      </c>
      <c r="Q231">
        <v>117593.97</v>
      </c>
    </row>
    <row r="232" spans="1:17">
      <c r="A232" t="s">
        <v>82</v>
      </c>
      <c r="B232" s="2">
        <v>45658</v>
      </c>
      <c r="C232" t="s">
        <v>24</v>
      </c>
      <c r="D232" t="s">
        <v>21</v>
      </c>
      <c r="E232">
        <v>69900.12</v>
      </c>
      <c r="F232">
        <v>8055</v>
      </c>
      <c r="G232">
        <v>85.6</v>
      </c>
      <c r="H232">
        <f t="shared" si="9"/>
        <v>0</v>
      </c>
      <c r="I232">
        <f t="shared" si="10"/>
        <v>0</v>
      </c>
      <c r="J232">
        <f t="shared" si="11"/>
        <v>0</v>
      </c>
      <c r="K232">
        <v>22</v>
      </c>
      <c r="L232">
        <v>0.28100000000000003</v>
      </c>
      <c r="M232">
        <v>10.68</v>
      </c>
      <c r="N232">
        <v>1</v>
      </c>
      <c r="O232">
        <v>2.9</v>
      </c>
      <c r="P232">
        <v>776992.93</v>
      </c>
      <c r="Q232">
        <v>101598.32</v>
      </c>
    </row>
    <row r="233" spans="1:17">
      <c r="A233" t="s">
        <v>82</v>
      </c>
      <c r="B233" s="2">
        <v>45689</v>
      </c>
      <c r="C233" t="s">
        <v>24</v>
      </c>
      <c r="D233" t="s">
        <v>21</v>
      </c>
      <c r="E233">
        <v>51781.599999999999</v>
      </c>
      <c r="F233">
        <v>5648</v>
      </c>
      <c r="G233">
        <v>85.5</v>
      </c>
      <c r="H233">
        <f t="shared" si="9"/>
        <v>0</v>
      </c>
      <c r="I233">
        <f t="shared" si="10"/>
        <v>0</v>
      </c>
      <c r="J233">
        <f t="shared" si="11"/>
        <v>0</v>
      </c>
      <c r="K233">
        <v>13</v>
      </c>
      <c r="L233">
        <v>5.8999999999999997E-2</v>
      </c>
      <c r="M233">
        <v>4.04</v>
      </c>
      <c r="N233">
        <v>0</v>
      </c>
      <c r="O233">
        <v>3.7</v>
      </c>
      <c r="P233">
        <v>676337.41</v>
      </c>
      <c r="Q233">
        <v>104355.77</v>
      </c>
    </row>
    <row r="234" spans="1:17">
      <c r="A234" t="s">
        <v>82</v>
      </c>
      <c r="B234" s="2">
        <v>45717</v>
      </c>
      <c r="C234" t="s">
        <v>24</v>
      </c>
      <c r="D234" t="s">
        <v>21</v>
      </c>
      <c r="E234">
        <v>70799.64</v>
      </c>
      <c r="F234">
        <v>10076</v>
      </c>
      <c r="G234">
        <v>84.8</v>
      </c>
      <c r="H234">
        <f t="shared" si="9"/>
        <v>0</v>
      </c>
      <c r="I234">
        <f t="shared" si="10"/>
        <v>0</v>
      </c>
      <c r="J234">
        <f t="shared" si="11"/>
        <v>0</v>
      </c>
      <c r="K234">
        <v>24</v>
      </c>
      <c r="L234">
        <v>0.152</v>
      </c>
      <c r="M234">
        <v>1.87</v>
      </c>
      <c r="N234">
        <v>0</v>
      </c>
      <c r="O234">
        <v>3.5</v>
      </c>
      <c r="P234">
        <v>828219.67</v>
      </c>
      <c r="Q234">
        <v>179806.87</v>
      </c>
    </row>
    <row r="235" spans="1:17">
      <c r="A235" t="s">
        <v>82</v>
      </c>
      <c r="B235" s="2">
        <v>45748</v>
      </c>
      <c r="C235" t="s">
        <v>24</v>
      </c>
      <c r="D235" t="s">
        <v>21</v>
      </c>
      <c r="E235">
        <v>53546.34</v>
      </c>
      <c r="F235">
        <v>8004</v>
      </c>
      <c r="G235">
        <v>95.2</v>
      </c>
      <c r="H235">
        <f t="shared" si="9"/>
        <v>0</v>
      </c>
      <c r="I235">
        <f t="shared" si="10"/>
        <v>0</v>
      </c>
      <c r="J235">
        <f t="shared" si="11"/>
        <v>0</v>
      </c>
      <c r="K235">
        <v>21</v>
      </c>
      <c r="L235">
        <v>0</v>
      </c>
      <c r="M235">
        <v>2.83</v>
      </c>
      <c r="N235">
        <v>0</v>
      </c>
      <c r="O235">
        <v>3</v>
      </c>
      <c r="P235">
        <v>763159.92</v>
      </c>
      <c r="Q235">
        <v>177104.87</v>
      </c>
    </row>
    <row r="236" spans="1:17">
      <c r="A236" t="s">
        <v>83</v>
      </c>
      <c r="B236" s="2">
        <v>45658</v>
      </c>
      <c r="C236" t="s">
        <v>15</v>
      </c>
      <c r="D236" t="s">
        <v>18</v>
      </c>
      <c r="E236">
        <v>76942.2</v>
      </c>
      <c r="F236">
        <v>8934</v>
      </c>
      <c r="G236">
        <v>91</v>
      </c>
      <c r="H236">
        <f t="shared" si="9"/>
        <v>0</v>
      </c>
      <c r="I236">
        <f t="shared" si="10"/>
        <v>1</v>
      </c>
      <c r="J236">
        <f t="shared" si="11"/>
        <v>0</v>
      </c>
      <c r="K236">
        <v>20</v>
      </c>
      <c r="L236">
        <v>8.4000000000000005E-2</v>
      </c>
      <c r="M236">
        <v>0.95</v>
      </c>
      <c r="N236">
        <v>0</v>
      </c>
      <c r="O236">
        <v>3.2</v>
      </c>
      <c r="P236">
        <v>802001.68</v>
      </c>
      <c r="Q236">
        <v>159715.82</v>
      </c>
    </row>
    <row r="237" spans="1:17">
      <c r="A237" t="s">
        <v>83</v>
      </c>
      <c r="B237" s="2">
        <v>45689</v>
      </c>
      <c r="C237" t="s">
        <v>15</v>
      </c>
      <c r="D237" t="s">
        <v>18</v>
      </c>
      <c r="E237">
        <v>48060.78</v>
      </c>
      <c r="F237">
        <v>8733</v>
      </c>
      <c r="G237">
        <v>89.9</v>
      </c>
      <c r="H237">
        <f t="shared" si="9"/>
        <v>0</v>
      </c>
      <c r="I237">
        <f t="shared" si="10"/>
        <v>1</v>
      </c>
      <c r="J237">
        <f t="shared" si="11"/>
        <v>0</v>
      </c>
      <c r="K237">
        <v>20</v>
      </c>
      <c r="L237">
        <v>0</v>
      </c>
      <c r="M237">
        <v>0.8</v>
      </c>
      <c r="N237">
        <v>0</v>
      </c>
      <c r="O237">
        <v>3.4</v>
      </c>
      <c r="P237">
        <v>750471.34</v>
      </c>
      <c r="Q237">
        <v>133788.04</v>
      </c>
    </row>
    <row r="238" spans="1:17">
      <c r="A238" t="s">
        <v>83</v>
      </c>
      <c r="B238" s="2">
        <v>45717</v>
      </c>
      <c r="C238" t="s">
        <v>15</v>
      </c>
      <c r="D238" t="s">
        <v>18</v>
      </c>
      <c r="E238">
        <v>57390.04</v>
      </c>
      <c r="F238">
        <v>7374</v>
      </c>
      <c r="G238">
        <v>91.8</v>
      </c>
      <c r="H238">
        <f t="shared" si="9"/>
        <v>0</v>
      </c>
      <c r="I238">
        <f t="shared" si="10"/>
        <v>1</v>
      </c>
      <c r="J238">
        <f t="shared" si="11"/>
        <v>0</v>
      </c>
      <c r="K238">
        <v>21</v>
      </c>
      <c r="L238">
        <v>0.21</v>
      </c>
      <c r="M238">
        <v>0.2</v>
      </c>
      <c r="N238">
        <v>0</v>
      </c>
      <c r="O238">
        <v>3.1</v>
      </c>
      <c r="P238">
        <v>679230.86</v>
      </c>
      <c r="Q238">
        <v>106927.58</v>
      </c>
    </row>
    <row r="239" spans="1:17">
      <c r="A239" t="s">
        <v>83</v>
      </c>
      <c r="B239" s="2">
        <v>45748</v>
      </c>
      <c r="C239" t="s">
        <v>15</v>
      </c>
      <c r="D239" t="s">
        <v>18</v>
      </c>
      <c r="E239">
        <v>21536.18</v>
      </c>
      <c r="F239">
        <v>8119</v>
      </c>
      <c r="G239">
        <v>90.4</v>
      </c>
      <c r="H239">
        <f t="shared" si="9"/>
        <v>0</v>
      </c>
      <c r="I239">
        <f t="shared" si="10"/>
        <v>1</v>
      </c>
      <c r="J239">
        <f t="shared" si="11"/>
        <v>0</v>
      </c>
      <c r="K239">
        <v>20</v>
      </c>
      <c r="L239">
        <v>0.22700000000000001</v>
      </c>
      <c r="M239">
        <v>1.7</v>
      </c>
      <c r="N239">
        <v>0</v>
      </c>
      <c r="O239">
        <v>3.3</v>
      </c>
      <c r="P239">
        <v>679888.74</v>
      </c>
      <c r="Q239">
        <v>83406.89</v>
      </c>
    </row>
    <row r="240" spans="1:17">
      <c r="A240" t="s">
        <v>84</v>
      </c>
      <c r="B240" s="2">
        <v>45689</v>
      </c>
      <c r="C240" t="s">
        <v>20</v>
      </c>
      <c r="D240" t="s">
        <v>18</v>
      </c>
      <c r="E240">
        <v>72932.55</v>
      </c>
      <c r="F240">
        <v>5765</v>
      </c>
      <c r="G240">
        <v>81.8</v>
      </c>
      <c r="H240">
        <f t="shared" si="9"/>
        <v>0</v>
      </c>
      <c r="I240">
        <f t="shared" si="10"/>
        <v>1</v>
      </c>
      <c r="J240">
        <f t="shared" si="11"/>
        <v>0</v>
      </c>
      <c r="K240">
        <v>17</v>
      </c>
      <c r="L240">
        <v>2.5999999999999999E-2</v>
      </c>
      <c r="M240">
        <v>5.0999999999999996</v>
      </c>
      <c r="N240">
        <v>0</v>
      </c>
      <c r="O240">
        <v>3.6</v>
      </c>
      <c r="P240">
        <v>642751.42000000004</v>
      </c>
      <c r="Q240">
        <v>131942.15</v>
      </c>
    </row>
    <row r="241" spans="1:17">
      <c r="A241" t="s">
        <v>84</v>
      </c>
      <c r="B241" s="2">
        <v>45717</v>
      </c>
      <c r="C241" t="s">
        <v>20</v>
      </c>
      <c r="D241" t="s">
        <v>18</v>
      </c>
      <c r="E241">
        <v>38361.93</v>
      </c>
      <c r="F241">
        <v>6322</v>
      </c>
      <c r="G241">
        <v>88.4</v>
      </c>
      <c r="H241">
        <f t="shared" si="9"/>
        <v>0</v>
      </c>
      <c r="I241">
        <f t="shared" si="10"/>
        <v>1</v>
      </c>
      <c r="J241">
        <f t="shared" si="11"/>
        <v>0</v>
      </c>
      <c r="K241">
        <v>15</v>
      </c>
      <c r="L241">
        <v>0.27300000000000002</v>
      </c>
      <c r="M241">
        <v>0.83</v>
      </c>
      <c r="N241">
        <v>0</v>
      </c>
      <c r="O241">
        <v>4</v>
      </c>
      <c r="P241">
        <v>647953.78</v>
      </c>
      <c r="Q241">
        <v>118497.43</v>
      </c>
    </row>
    <row r="242" spans="1:17">
      <c r="A242" t="s">
        <v>84</v>
      </c>
      <c r="B242" s="2">
        <v>45748</v>
      </c>
      <c r="C242" t="s">
        <v>20</v>
      </c>
      <c r="D242" t="s">
        <v>18</v>
      </c>
      <c r="E242">
        <v>97480.94</v>
      </c>
      <c r="F242">
        <v>6840</v>
      </c>
      <c r="G242">
        <v>79.2</v>
      </c>
      <c r="H242">
        <f t="shared" si="9"/>
        <v>0</v>
      </c>
      <c r="I242">
        <f t="shared" si="10"/>
        <v>1</v>
      </c>
      <c r="J242">
        <f t="shared" si="11"/>
        <v>0</v>
      </c>
      <c r="K242">
        <v>14</v>
      </c>
      <c r="L242">
        <v>8.6999999999999994E-2</v>
      </c>
      <c r="M242">
        <v>1.1399999999999999</v>
      </c>
      <c r="N242">
        <v>0</v>
      </c>
      <c r="O242">
        <v>4</v>
      </c>
      <c r="P242">
        <v>729440.45</v>
      </c>
      <c r="Q242">
        <v>87614.29</v>
      </c>
    </row>
    <row r="243" spans="1:17">
      <c r="A243" t="s">
        <v>85</v>
      </c>
      <c r="B243" s="2">
        <v>45658</v>
      </c>
      <c r="C243" t="s">
        <v>24</v>
      </c>
      <c r="D243" t="s">
        <v>21</v>
      </c>
      <c r="E243">
        <v>81801.8</v>
      </c>
      <c r="F243">
        <v>6782</v>
      </c>
      <c r="G243">
        <v>99</v>
      </c>
      <c r="H243">
        <f t="shared" si="9"/>
        <v>0</v>
      </c>
      <c r="I243">
        <f t="shared" si="10"/>
        <v>0</v>
      </c>
      <c r="J243">
        <f t="shared" si="11"/>
        <v>0</v>
      </c>
      <c r="K243">
        <v>16</v>
      </c>
      <c r="L243">
        <v>0.05</v>
      </c>
      <c r="M243">
        <v>9.5399999999999991</v>
      </c>
      <c r="N243">
        <v>0</v>
      </c>
      <c r="O243">
        <v>3.7</v>
      </c>
      <c r="P243">
        <v>764949</v>
      </c>
      <c r="Q243">
        <v>148322.43</v>
      </c>
    </row>
    <row r="244" spans="1:17">
      <c r="A244" t="s">
        <v>85</v>
      </c>
      <c r="B244" s="2">
        <v>45689</v>
      </c>
      <c r="C244" t="s">
        <v>24</v>
      </c>
      <c r="D244" t="s">
        <v>21</v>
      </c>
      <c r="E244">
        <v>63582.11</v>
      </c>
      <c r="F244">
        <v>6856</v>
      </c>
      <c r="G244">
        <v>89.5</v>
      </c>
      <c r="H244">
        <f t="shared" si="9"/>
        <v>0</v>
      </c>
      <c r="I244">
        <f t="shared" si="10"/>
        <v>0</v>
      </c>
      <c r="J244">
        <f t="shared" si="11"/>
        <v>0</v>
      </c>
      <c r="K244">
        <v>17</v>
      </c>
      <c r="L244">
        <v>7.3999999999999996E-2</v>
      </c>
      <c r="M244">
        <v>5.48</v>
      </c>
      <c r="N244">
        <v>0</v>
      </c>
      <c r="O244">
        <v>3.2</v>
      </c>
      <c r="P244">
        <v>799046.94</v>
      </c>
      <c r="Q244">
        <v>144553.64000000001</v>
      </c>
    </row>
    <row r="245" spans="1:17">
      <c r="A245" t="s">
        <v>85</v>
      </c>
      <c r="B245" s="2">
        <v>45717</v>
      </c>
      <c r="C245" t="s">
        <v>24</v>
      </c>
      <c r="D245" t="s">
        <v>21</v>
      </c>
      <c r="E245">
        <v>75412.740000000005</v>
      </c>
      <c r="F245">
        <v>5641</v>
      </c>
      <c r="G245">
        <v>87.9</v>
      </c>
      <c r="H245">
        <f t="shared" si="9"/>
        <v>0</v>
      </c>
      <c r="I245">
        <f t="shared" si="10"/>
        <v>0</v>
      </c>
      <c r="J245">
        <f t="shared" si="11"/>
        <v>0</v>
      </c>
      <c r="K245">
        <v>13</v>
      </c>
      <c r="L245">
        <v>5.8999999999999997E-2</v>
      </c>
      <c r="M245">
        <v>0.84</v>
      </c>
      <c r="N245">
        <v>0</v>
      </c>
      <c r="O245">
        <v>3.6</v>
      </c>
      <c r="P245">
        <v>720079.54</v>
      </c>
      <c r="Q245">
        <v>119499.47</v>
      </c>
    </row>
    <row r="246" spans="1:17">
      <c r="A246" t="s">
        <v>85</v>
      </c>
      <c r="B246" s="2">
        <v>45748</v>
      </c>
      <c r="C246" t="s">
        <v>24</v>
      </c>
      <c r="D246" t="s">
        <v>21</v>
      </c>
      <c r="E246">
        <v>36290.080000000002</v>
      </c>
      <c r="F246">
        <v>5787</v>
      </c>
      <c r="G246">
        <v>88.3</v>
      </c>
      <c r="H246">
        <f t="shared" si="9"/>
        <v>0</v>
      </c>
      <c r="I246">
        <f t="shared" si="10"/>
        <v>0</v>
      </c>
      <c r="J246">
        <f t="shared" si="11"/>
        <v>0</v>
      </c>
      <c r="K246">
        <v>17</v>
      </c>
      <c r="L246">
        <v>0</v>
      </c>
      <c r="M246">
        <v>4.1900000000000004</v>
      </c>
      <c r="N246">
        <v>0</v>
      </c>
      <c r="O246">
        <v>4.0999999999999996</v>
      </c>
      <c r="P246">
        <v>612390.14</v>
      </c>
      <c r="Q246">
        <v>108985.74</v>
      </c>
    </row>
    <row r="247" spans="1:17">
      <c r="A247" t="s">
        <v>86</v>
      </c>
      <c r="B247" s="2">
        <v>45658</v>
      </c>
      <c r="C247" t="s">
        <v>24</v>
      </c>
      <c r="D247" t="s">
        <v>28</v>
      </c>
      <c r="E247">
        <v>65272.58</v>
      </c>
      <c r="F247">
        <v>8165</v>
      </c>
      <c r="G247">
        <v>87.8</v>
      </c>
      <c r="H247">
        <f t="shared" si="9"/>
        <v>1</v>
      </c>
      <c r="I247">
        <f t="shared" si="10"/>
        <v>0</v>
      </c>
      <c r="J247">
        <f t="shared" si="11"/>
        <v>0</v>
      </c>
      <c r="K247">
        <v>19</v>
      </c>
      <c r="L247">
        <v>5.0999999999999997E-2</v>
      </c>
      <c r="M247">
        <v>1.26</v>
      </c>
      <c r="N247">
        <v>1</v>
      </c>
      <c r="O247">
        <v>4.3</v>
      </c>
      <c r="P247">
        <v>840108.12</v>
      </c>
      <c r="Q247">
        <v>126587.01</v>
      </c>
    </row>
    <row r="248" spans="1:17">
      <c r="A248" t="s">
        <v>86</v>
      </c>
      <c r="B248" s="2">
        <v>45689</v>
      </c>
      <c r="C248" t="s">
        <v>24</v>
      </c>
      <c r="D248" t="s">
        <v>28</v>
      </c>
      <c r="E248">
        <v>28670.43</v>
      </c>
      <c r="F248">
        <v>7574</v>
      </c>
      <c r="G248">
        <v>82.7</v>
      </c>
      <c r="H248">
        <f t="shared" si="9"/>
        <v>1</v>
      </c>
      <c r="I248">
        <f t="shared" si="10"/>
        <v>0</v>
      </c>
      <c r="J248">
        <f t="shared" si="11"/>
        <v>0</v>
      </c>
      <c r="K248">
        <v>19</v>
      </c>
      <c r="L248">
        <v>0.114</v>
      </c>
      <c r="M248">
        <v>2.74</v>
      </c>
      <c r="N248">
        <v>0</v>
      </c>
      <c r="O248">
        <v>4.5999999999999996</v>
      </c>
      <c r="P248">
        <v>697888.09</v>
      </c>
      <c r="Q248">
        <v>116249.87</v>
      </c>
    </row>
    <row r="249" spans="1:17">
      <c r="A249" t="s">
        <v>86</v>
      </c>
      <c r="B249" s="2">
        <v>45717</v>
      </c>
      <c r="C249" t="s">
        <v>24</v>
      </c>
      <c r="D249" t="s">
        <v>28</v>
      </c>
      <c r="E249">
        <v>44189.34</v>
      </c>
      <c r="F249">
        <v>8634</v>
      </c>
      <c r="G249">
        <v>87.5</v>
      </c>
      <c r="H249">
        <f t="shared" si="9"/>
        <v>1</v>
      </c>
      <c r="I249">
        <f t="shared" si="10"/>
        <v>0</v>
      </c>
      <c r="J249">
        <f t="shared" si="11"/>
        <v>0</v>
      </c>
      <c r="K249">
        <v>19</v>
      </c>
      <c r="L249">
        <v>0.14299999999999999</v>
      </c>
      <c r="M249">
        <v>3.69</v>
      </c>
      <c r="N249">
        <v>0</v>
      </c>
      <c r="O249">
        <v>4.4000000000000004</v>
      </c>
      <c r="P249">
        <v>746115.59</v>
      </c>
      <c r="Q249">
        <v>94662.96</v>
      </c>
    </row>
    <row r="250" spans="1:17">
      <c r="A250" t="s">
        <v>86</v>
      </c>
      <c r="B250" s="2">
        <v>45748</v>
      </c>
      <c r="C250" t="s">
        <v>24</v>
      </c>
      <c r="D250" t="s">
        <v>28</v>
      </c>
      <c r="E250">
        <v>38397.82</v>
      </c>
      <c r="F250">
        <v>7836</v>
      </c>
      <c r="G250">
        <v>92.2</v>
      </c>
      <c r="H250">
        <f t="shared" si="9"/>
        <v>1</v>
      </c>
      <c r="I250">
        <f t="shared" si="10"/>
        <v>0</v>
      </c>
      <c r="J250">
        <f t="shared" si="11"/>
        <v>0</v>
      </c>
      <c r="K250">
        <v>21</v>
      </c>
      <c r="L250">
        <v>7.0000000000000001E-3</v>
      </c>
      <c r="M250">
        <v>1.82</v>
      </c>
      <c r="N250">
        <v>0</v>
      </c>
      <c r="O250">
        <v>3.6</v>
      </c>
      <c r="P250">
        <v>776110.32</v>
      </c>
      <c r="Q250">
        <v>139676.21</v>
      </c>
    </row>
    <row r="251" spans="1:17">
      <c r="A251" t="s">
        <v>87</v>
      </c>
      <c r="B251" s="2">
        <v>45658</v>
      </c>
      <c r="C251" t="s">
        <v>27</v>
      </c>
      <c r="D251" t="s">
        <v>18</v>
      </c>
      <c r="E251">
        <v>14519.37</v>
      </c>
      <c r="F251">
        <v>3047</v>
      </c>
      <c r="G251">
        <v>90.3</v>
      </c>
      <c r="H251">
        <f t="shared" si="9"/>
        <v>0</v>
      </c>
      <c r="I251">
        <f t="shared" si="10"/>
        <v>1</v>
      </c>
      <c r="J251">
        <f t="shared" si="11"/>
        <v>0</v>
      </c>
      <c r="K251">
        <v>10</v>
      </c>
      <c r="L251">
        <v>0.13500000000000001</v>
      </c>
      <c r="M251">
        <v>6.62</v>
      </c>
      <c r="N251">
        <v>0</v>
      </c>
      <c r="O251">
        <v>4.2</v>
      </c>
      <c r="P251">
        <v>528852.62</v>
      </c>
      <c r="Q251">
        <v>68426.210000000006</v>
      </c>
    </row>
    <row r="252" spans="1:17">
      <c r="A252" t="s">
        <v>87</v>
      </c>
      <c r="B252" s="2">
        <v>45717</v>
      </c>
      <c r="C252" t="s">
        <v>27</v>
      </c>
      <c r="D252" t="s">
        <v>18</v>
      </c>
      <c r="E252">
        <v>51450.55</v>
      </c>
      <c r="F252">
        <v>4902</v>
      </c>
      <c r="G252">
        <v>83.7</v>
      </c>
      <c r="H252">
        <f t="shared" si="9"/>
        <v>0</v>
      </c>
      <c r="I252">
        <f t="shared" si="10"/>
        <v>1</v>
      </c>
      <c r="J252">
        <f t="shared" si="11"/>
        <v>0</v>
      </c>
      <c r="K252">
        <v>11</v>
      </c>
      <c r="L252">
        <v>8.5999999999999993E-2</v>
      </c>
      <c r="M252">
        <v>6.92</v>
      </c>
      <c r="N252">
        <v>1</v>
      </c>
      <c r="O252">
        <v>4.2</v>
      </c>
      <c r="P252">
        <v>677640.65</v>
      </c>
      <c r="Q252">
        <v>111610.89</v>
      </c>
    </row>
    <row r="253" spans="1:17">
      <c r="A253" t="s">
        <v>87</v>
      </c>
      <c r="B253" s="2">
        <v>45748</v>
      </c>
      <c r="C253" t="s">
        <v>27</v>
      </c>
      <c r="D253" t="s">
        <v>18</v>
      </c>
      <c r="E253">
        <v>58688.26</v>
      </c>
      <c r="F253">
        <v>4022</v>
      </c>
      <c r="G253">
        <v>93.8</v>
      </c>
      <c r="H253">
        <f t="shared" si="9"/>
        <v>0</v>
      </c>
      <c r="I253">
        <f t="shared" si="10"/>
        <v>1</v>
      </c>
      <c r="J253">
        <f t="shared" si="11"/>
        <v>0</v>
      </c>
      <c r="K253">
        <v>12</v>
      </c>
      <c r="L253">
        <v>0.217</v>
      </c>
      <c r="M253">
        <v>11.78</v>
      </c>
      <c r="N253">
        <v>0</v>
      </c>
      <c r="O253">
        <v>3.7</v>
      </c>
      <c r="P253">
        <v>636613.23</v>
      </c>
      <c r="Q253">
        <v>78908.350000000006</v>
      </c>
    </row>
    <row r="254" spans="1:17">
      <c r="A254" t="s">
        <v>88</v>
      </c>
      <c r="B254" s="2">
        <v>45658</v>
      </c>
      <c r="C254" t="s">
        <v>15</v>
      </c>
      <c r="D254" t="s">
        <v>18</v>
      </c>
      <c r="E254">
        <v>58981.91</v>
      </c>
      <c r="F254">
        <v>7324</v>
      </c>
      <c r="G254">
        <v>95.8</v>
      </c>
      <c r="H254">
        <f t="shared" si="9"/>
        <v>0</v>
      </c>
      <c r="I254">
        <f t="shared" si="10"/>
        <v>1</v>
      </c>
      <c r="J254">
        <f t="shared" si="11"/>
        <v>0</v>
      </c>
      <c r="K254">
        <v>15</v>
      </c>
      <c r="L254">
        <v>9.4E-2</v>
      </c>
      <c r="M254">
        <v>0.5</v>
      </c>
      <c r="N254">
        <v>0</v>
      </c>
      <c r="O254">
        <v>3.5</v>
      </c>
      <c r="P254">
        <v>708985.19</v>
      </c>
      <c r="Q254">
        <v>125368.16</v>
      </c>
    </row>
    <row r="255" spans="1:17">
      <c r="A255" t="s">
        <v>88</v>
      </c>
      <c r="B255" s="2">
        <v>45689</v>
      </c>
      <c r="C255" t="s">
        <v>15</v>
      </c>
      <c r="D255" t="s">
        <v>18</v>
      </c>
      <c r="E255">
        <v>73454.539999999994</v>
      </c>
      <c r="F255">
        <v>8129</v>
      </c>
      <c r="G255">
        <v>85.2</v>
      </c>
      <c r="H255">
        <f t="shared" si="9"/>
        <v>0</v>
      </c>
      <c r="I255">
        <f t="shared" si="10"/>
        <v>1</v>
      </c>
      <c r="J255">
        <f t="shared" si="11"/>
        <v>0</v>
      </c>
      <c r="K255">
        <v>20</v>
      </c>
      <c r="L255">
        <v>0.21099999999999999</v>
      </c>
      <c r="M255">
        <v>0.88</v>
      </c>
      <c r="N255">
        <v>0</v>
      </c>
      <c r="O255">
        <v>3.7</v>
      </c>
      <c r="P255">
        <v>767792.94</v>
      </c>
      <c r="Q255">
        <v>96235.77</v>
      </c>
    </row>
    <row r="256" spans="1:17">
      <c r="A256" t="s">
        <v>88</v>
      </c>
      <c r="B256" s="2">
        <v>45717</v>
      </c>
      <c r="C256" t="s">
        <v>15</v>
      </c>
      <c r="D256" t="s">
        <v>18</v>
      </c>
      <c r="E256">
        <v>56602.39</v>
      </c>
      <c r="F256">
        <v>7969</v>
      </c>
      <c r="G256">
        <v>88.3</v>
      </c>
      <c r="H256">
        <f t="shared" si="9"/>
        <v>0</v>
      </c>
      <c r="I256">
        <f t="shared" si="10"/>
        <v>1</v>
      </c>
      <c r="J256">
        <f t="shared" si="11"/>
        <v>0</v>
      </c>
      <c r="K256">
        <v>21</v>
      </c>
      <c r="L256">
        <v>0.17</v>
      </c>
      <c r="M256">
        <v>2.25</v>
      </c>
      <c r="N256">
        <v>0</v>
      </c>
      <c r="O256">
        <v>3.7</v>
      </c>
      <c r="P256">
        <v>745580.51</v>
      </c>
      <c r="Q256">
        <v>116273.68</v>
      </c>
    </row>
    <row r="257" spans="1:17">
      <c r="A257" t="s">
        <v>88</v>
      </c>
      <c r="B257" s="2">
        <v>45748</v>
      </c>
      <c r="C257" t="s">
        <v>15</v>
      </c>
      <c r="D257" t="s">
        <v>18</v>
      </c>
      <c r="E257">
        <v>67722.289999999994</v>
      </c>
      <c r="F257">
        <v>7240</v>
      </c>
      <c r="G257">
        <v>92.9</v>
      </c>
      <c r="H257">
        <f t="shared" si="9"/>
        <v>0</v>
      </c>
      <c r="I257">
        <f t="shared" si="10"/>
        <v>1</v>
      </c>
      <c r="J257">
        <f t="shared" si="11"/>
        <v>0</v>
      </c>
      <c r="K257">
        <v>15</v>
      </c>
      <c r="L257">
        <v>2.5999999999999999E-2</v>
      </c>
      <c r="M257">
        <v>0.28999999999999998</v>
      </c>
      <c r="N257">
        <v>0</v>
      </c>
      <c r="O257">
        <v>3.5</v>
      </c>
      <c r="P257">
        <v>762328.31</v>
      </c>
      <c r="Q257">
        <v>159158.19</v>
      </c>
    </row>
    <row r="258" spans="1:17">
      <c r="A258" t="s">
        <v>89</v>
      </c>
      <c r="B258" s="2">
        <v>45658</v>
      </c>
      <c r="C258" t="s">
        <v>15</v>
      </c>
      <c r="D258" t="s">
        <v>28</v>
      </c>
      <c r="E258">
        <v>48752.92</v>
      </c>
      <c r="F258">
        <v>8052</v>
      </c>
      <c r="G258">
        <v>94.9</v>
      </c>
      <c r="H258">
        <f t="shared" si="9"/>
        <v>1</v>
      </c>
      <c r="I258">
        <f t="shared" si="10"/>
        <v>0</v>
      </c>
      <c r="J258">
        <f t="shared" si="11"/>
        <v>0</v>
      </c>
      <c r="K258">
        <v>16</v>
      </c>
      <c r="L258">
        <v>0.106</v>
      </c>
      <c r="M258">
        <v>0.65</v>
      </c>
      <c r="N258">
        <v>0</v>
      </c>
      <c r="O258">
        <v>3.6</v>
      </c>
      <c r="P258">
        <v>660633.99</v>
      </c>
      <c r="Q258">
        <v>118768.66</v>
      </c>
    </row>
    <row r="259" spans="1:17">
      <c r="A259" t="s">
        <v>89</v>
      </c>
      <c r="B259" s="2">
        <v>45689</v>
      </c>
      <c r="C259" t="s">
        <v>15</v>
      </c>
      <c r="D259" t="s">
        <v>28</v>
      </c>
      <c r="E259">
        <v>23914.97</v>
      </c>
      <c r="F259">
        <v>8018</v>
      </c>
      <c r="G259">
        <v>89</v>
      </c>
      <c r="H259">
        <f t="shared" ref="H259:H307" si="12">IF($D259="Mall", 1, 0)</f>
        <v>1</v>
      </c>
      <c r="I259">
        <f t="shared" ref="I259:I307" si="13">IF($D259="High Street", 1, 0)</f>
        <v>0</v>
      </c>
      <c r="J259">
        <f t="shared" ref="J259:J307" si="14">IF($D259="Residential", 1, 0)</f>
        <v>0</v>
      </c>
      <c r="K259">
        <v>20</v>
      </c>
      <c r="L259">
        <v>0.13900000000000001</v>
      </c>
      <c r="M259">
        <v>0.2</v>
      </c>
      <c r="N259">
        <v>0</v>
      </c>
      <c r="O259">
        <v>3.5</v>
      </c>
      <c r="P259">
        <v>739374.56</v>
      </c>
      <c r="Q259">
        <v>121032.29</v>
      </c>
    </row>
    <row r="260" spans="1:17">
      <c r="A260" t="s">
        <v>89</v>
      </c>
      <c r="B260" s="2">
        <v>45717</v>
      </c>
      <c r="C260" t="s">
        <v>15</v>
      </c>
      <c r="D260" t="s">
        <v>28</v>
      </c>
      <c r="E260">
        <v>61995.3</v>
      </c>
      <c r="F260">
        <v>10192</v>
      </c>
      <c r="G260">
        <v>87.6</v>
      </c>
      <c r="H260">
        <f t="shared" si="12"/>
        <v>1</v>
      </c>
      <c r="I260">
        <f t="shared" si="13"/>
        <v>0</v>
      </c>
      <c r="J260">
        <f t="shared" si="14"/>
        <v>0</v>
      </c>
      <c r="K260">
        <v>21</v>
      </c>
      <c r="L260">
        <v>0.19800000000000001</v>
      </c>
      <c r="M260">
        <v>3.63</v>
      </c>
      <c r="N260">
        <v>1</v>
      </c>
      <c r="O260">
        <v>3.8</v>
      </c>
      <c r="P260">
        <v>799756.46</v>
      </c>
      <c r="Q260">
        <v>105052.93</v>
      </c>
    </row>
    <row r="261" spans="1:17">
      <c r="A261" t="s">
        <v>89</v>
      </c>
      <c r="B261" s="2">
        <v>45748</v>
      </c>
      <c r="C261" t="s">
        <v>15</v>
      </c>
      <c r="D261" t="s">
        <v>28</v>
      </c>
      <c r="E261">
        <v>29344.93</v>
      </c>
      <c r="F261">
        <v>7446</v>
      </c>
      <c r="G261">
        <v>86.2</v>
      </c>
      <c r="H261">
        <f t="shared" si="12"/>
        <v>1</v>
      </c>
      <c r="I261">
        <f t="shared" si="13"/>
        <v>0</v>
      </c>
      <c r="J261">
        <f t="shared" si="14"/>
        <v>0</v>
      </c>
      <c r="K261">
        <v>15</v>
      </c>
      <c r="L261">
        <v>0.111</v>
      </c>
      <c r="M261">
        <v>0.2</v>
      </c>
      <c r="N261">
        <v>0</v>
      </c>
      <c r="O261">
        <v>3.2</v>
      </c>
      <c r="P261">
        <v>593343</v>
      </c>
      <c r="Q261">
        <v>82832.240000000005</v>
      </c>
    </row>
    <row r="262" spans="1:17">
      <c r="A262" t="s">
        <v>90</v>
      </c>
      <c r="B262" s="2">
        <v>45658</v>
      </c>
      <c r="C262" t="s">
        <v>27</v>
      </c>
      <c r="D262" t="s">
        <v>18</v>
      </c>
      <c r="E262">
        <v>50532.17</v>
      </c>
      <c r="F262">
        <v>5689</v>
      </c>
      <c r="G262">
        <v>85.6</v>
      </c>
      <c r="H262">
        <f t="shared" si="12"/>
        <v>0</v>
      </c>
      <c r="I262">
        <f t="shared" si="13"/>
        <v>1</v>
      </c>
      <c r="J262">
        <f t="shared" si="14"/>
        <v>0</v>
      </c>
      <c r="K262">
        <v>17</v>
      </c>
      <c r="L262">
        <v>5.1999999999999998E-2</v>
      </c>
      <c r="M262">
        <v>6.23</v>
      </c>
      <c r="N262">
        <v>0</v>
      </c>
      <c r="O262">
        <v>3.3</v>
      </c>
      <c r="P262">
        <v>645039.97</v>
      </c>
      <c r="Q262">
        <v>83093.33</v>
      </c>
    </row>
    <row r="263" spans="1:17">
      <c r="A263" t="s">
        <v>90</v>
      </c>
      <c r="B263" s="2">
        <v>45689</v>
      </c>
      <c r="C263" t="s">
        <v>27</v>
      </c>
      <c r="D263" t="s">
        <v>18</v>
      </c>
      <c r="E263">
        <v>17562.57</v>
      </c>
      <c r="F263">
        <v>3326</v>
      </c>
      <c r="G263">
        <v>88.1</v>
      </c>
      <c r="H263">
        <f t="shared" si="12"/>
        <v>0</v>
      </c>
      <c r="I263">
        <f t="shared" si="13"/>
        <v>1</v>
      </c>
      <c r="J263">
        <f t="shared" si="14"/>
        <v>0</v>
      </c>
      <c r="K263">
        <v>14</v>
      </c>
      <c r="L263">
        <v>0.153</v>
      </c>
      <c r="M263">
        <v>1.04</v>
      </c>
      <c r="N263">
        <v>0</v>
      </c>
      <c r="O263">
        <v>3.1</v>
      </c>
      <c r="P263">
        <v>561597.32999999996</v>
      </c>
      <c r="Q263">
        <v>75072.75</v>
      </c>
    </row>
    <row r="264" spans="1:17">
      <c r="A264" t="s">
        <v>90</v>
      </c>
      <c r="B264" s="2">
        <v>45717</v>
      </c>
      <c r="C264" t="s">
        <v>27</v>
      </c>
      <c r="D264" t="s">
        <v>18</v>
      </c>
      <c r="E264">
        <v>47648.71</v>
      </c>
      <c r="F264">
        <v>5767</v>
      </c>
      <c r="G264">
        <v>89.8</v>
      </c>
      <c r="H264">
        <f t="shared" si="12"/>
        <v>0</v>
      </c>
      <c r="I264">
        <f t="shared" si="13"/>
        <v>1</v>
      </c>
      <c r="J264">
        <f t="shared" si="14"/>
        <v>0</v>
      </c>
      <c r="K264">
        <v>17</v>
      </c>
      <c r="L264">
        <v>0.14099999999999999</v>
      </c>
      <c r="M264">
        <v>1.76</v>
      </c>
      <c r="N264">
        <v>0</v>
      </c>
      <c r="O264">
        <v>3.1</v>
      </c>
      <c r="P264">
        <v>635837.74</v>
      </c>
      <c r="Q264">
        <v>114740.64</v>
      </c>
    </row>
    <row r="265" spans="1:17">
      <c r="A265" t="s">
        <v>90</v>
      </c>
      <c r="B265" s="2">
        <v>45748</v>
      </c>
      <c r="C265" t="s">
        <v>27</v>
      </c>
      <c r="D265" t="s">
        <v>18</v>
      </c>
      <c r="E265">
        <v>38297.58</v>
      </c>
      <c r="F265">
        <v>5893</v>
      </c>
      <c r="G265">
        <v>77.599999999999994</v>
      </c>
      <c r="H265">
        <f t="shared" si="12"/>
        <v>0</v>
      </c>
      <c r="I265">
        <f t="shared" si="13"/>
        <v>1</v>
      </c>
      <c r="J265">
        <f t="shared" si="14"/>
        <v>0</v>
      </c>
      <c r="K265">
        <v>18</v>
      </c>
      <c r="L265">
        <v>0.247</v>
      </c>
      <c r="M265">
        <v>2.86</v>
      </c>
      <c r="N265">
        <v>0</v>
      </c>
      <c r="O265">
        <v>3</v>
      </c>
      <c r="P265">
        <v>686737.87</v>
      </c>
      <c r="Q265">
        <v>83839.67</v>
      </c>
    </row>
    <row r="266" spans="1:17">
      <c r="A266" t="s">
        <v>91</v>
      </c>
      <c r="B266" s="2">
        <v>45658</v>
      </c>
      <c r="C266" t="s">
        <v>24</v>
      </c>
      <c r="D266" t="s">
        <v>16</v>
      </c>
      <c r="E266">
        <v>61784.11</v>
      </c>
      <c r="F266">
        <v>8564</v>
      </c>
      <c r="G266">
        <v>87.4</v>
      </c>
      <c r="H266">
        <f t="shared" si="12"/>
        <v>0</v>
      </c>
      <c r="I266">
        <f t="shared" si="13"/>
        <v>0</v>
      </c>
      <c r="J266">
        <f t="shared" si="14"/>
        <v>1</v>
      </c>
      <c r="K266">
        <v>17</v>
      </c>
      <c r="L266">
        <v>0.13</v>
      </c>
      <c r="M266">
        <v>18.14</v>
      </c>
      <c r="N266">
        <v>1</v>
      </c>
      <c r="O266">
        <v>3.4</v>
      </c>
      <c r="P266">
        <v>673076.34</v>
      </c>
      <c r="Q266">
        <v>93899.76</v>
      </c>
    </row>
    <row r="267" spans="1:17">
      <c r="A267" t="s">
        <v>91</v>
      </c>
      <c r="B267" s="2">
        <v>45689</v>
      </c>
      <c r="C267" t="s">
        <v>24</v>
      </c>
      <c r="D267" t="s">
        <v>16</v>
      </c>
      <c r="E267">
        <v>36832.33</v>
      </c>
      <c r="F267">
        <v>8001</v>
      </c>
      <c r="G267">
        <v>88.7</v>
      </c>
      <c r="H267">
        <f t="shared" si="12"/>
        <v>0</v>
      </c>
      <c r="I267">
        <f t="shared" si="13"/>
        <v>0</v>
      </c>
      <c r="J267">
        <f t="shared" si="14"/>
        <v>1</v>
      </c>
      <c r="K267">
        <v>19</v>
      </c>
      <c r="L267">
        <v>0</v>
      </c>
      <c r="M267">
        <v>3.39</v>
      </c>
      <c r="N267">
        <v>0</v>
      </c>
      <c r="O267">
        <v>4</v>
      </c>
      <c r="P267">
        <v>738548.42</v>
      </c>
      <c r="Q267">
        <v>134282.76999999999</v>
      </c>
    </row>
    <row r="268" spans="1:17">
      <c r="A268" t="s">
        <v>91</v>
      </c>
      <c r="B268" s="2">
        <v>45717</v>
      </c>
      <c r="C268" t="s">
        <v>24</v>
      </c>
      <c r="D268" t="s">
        <v>16</v>
      </c>
      <c r="E268">
        <v>48609.41</v>
      </c>
      <c r="F268">
        <v>9324</v>
      </c>
      <c r="G268">
        <v>86.5</v>
      </c>
      <c r="H268">
        <f t="shared" si="12"/>
        <v>0</v>
      </c>
      <c r="I268">
        <f t="shared" si="13"/>
        <v>0</v>
      </c>
      <c r="J268">
        <f t="shared" si="14"/>
        <v>1</v>
      </c>
      <c r="K268">
        <v>18</v>
      </c>
      <c r="L268">
        <v>0.21299999999999999</v>
      </c>
      <c r="M268">
        <v>1.44</v>
      </c>
      <c r="N268">
        <v>0</v>
      </c>
      <c r="O268">
        <v>3.9</v>
      </c>
      <c r="P268">
        <v>756619.77</v>
      </c>
      <c r="Q268">
        <v>112057.69</v>
      </c>
    </row>
    <row r="269" spans="1:17">
      <c r="A269" t="s">
        <v>91</v>
      </c>
      <c r="B269" s="2">
        <v>45748</v>
      </c>
      <c r="C269" t="s">
        <v>24</v>
      </c>
      <c r="D269" t="s">
        <v>16</v>
      </c>
      <c r="E269">
        <v>70284.06</v>
      </c>
      <c r="F269">
        <v>9109</v>
      </c>
      <c r="G269">
        <v>87</v>
      </c>
      <c r="H269">
        <f t="shared" si="12"/>
        <v>0</v>
      </c>
      <c r="I269">
        <f t="shared" si="13"/>
        <v>0</v>
      </c>
      <c r="J269">
        <f t="shared" si="14"/>
        <v>1</v>
      </c>
      <c r="K269">
        <v>23</v>
      </c>
      <c r="L269">
        <v>4.0000000000000001E-3</v>
      </c>
      <c r="M269">
        <v>3.65</v>
      </c>
      <c r="N269">
        <v>0</v>
      </c>
      <c r="O269">
        <v>3.7</v>
      </c>
      <c r="P269">
        <v>761122.42</v>
      </c>
      <c r="Q269">
        <v>149802.04</v>
      </c>
    </row>
    <row r="270" spans="1:17">
      <c r="A270" t="s">
        <v>92</v>
      </c>
      <c r="B270" s="2">
        <v>45658</v>
      </c>
      <c r="C270" t="s">
        <v>24</v>
      </c>
      <c r="D270" t="s">
        <v>18</v>
      </c>
      <c r="E270">
        <v>45940.39</v>
      </c>
      <c r="F270">
        <v>4022</v>
      </c>
      <c r="G270">
        <v>83</v>
      </c>
      <c r="H270">
        <f t="shared" si="12"/>
        <v>0</v>
      </c>
      <c r="I270">
        <f t="shared" si="13"/>
        <v>1</v>
      </c>
      <c r="J270">
        <f t="shared" si="14"/>
        <v>0</v>
      </c>
      <c r="K270">
        <v>10</v>
      </c>
      <c r="L270">
        <v>6.9000000000000006E-2</v>
      </c>
      <c r="M270">
        <v>1.23</v>
      </c>
      <c r="N270">
        <v>1</v>
      </c>
      <c r="O270">
        <v>3.8</v>
      </c>
      <c r="P270">
        <v>524899.56999999995</v>
      </c>
      <c r="Q270">
        <v>63619.98</v>
      </c>
    </row>
    <row r="271" spans="1:17">
      <c r="A271" t="s">
        <v>92</v>
      </c>
      <c r="B271" s="2">
        <v>45689</v>
      </c>
      <c r="C271" t="s">
        <v>24</v>
      </c>
      <c r="D271" t="s">
        <v>18</v>
      </c>
      <c r="E271">
        <v>34771.26</v>
      </c>
      <c r="F271">
        <v>4355</v>
      </c>
      <c r="G271">
        <v>87.9</v>
      </c>
      <c r="H271">
        <f t="shared" si="12"/>
        <v>0</v>
      </c>
      <c r="I271">
        <f t="shared" si="13"/>
        <v>1</v>
      </c>
      <c r="J271">
        <f t="shared" si="14"/>
        <v>0</v>
      </c>
      <c r="K271">
        <v>15</v>
      </c>
      <c r="L271">
        <v>5.0999999999999997E-2</v>
      </c>
      <c r="M271">
        <v>3.09</v>
      </c>
      <c r="N271">
        <v>0</v>
      </c>
      <c r="O271">
        <v>4</v>
      </c>
      <c r="P271">
        <v>555557.77</v>
      </c>
      <c r="Q271">
        <v>86475.51</v>
      </c>
    </row>
    <row r="272" spans="1:17">
      <c r="A272" t="s">
        <v>92</v>
      </c>
      <c r="B272" s="2">
        <v>45717</v>
      </c>
      <c r="C272" t="s">
        <v>24</v>
      </c>
      <c r="D272" t="s">
        <v>18</v>
      </c>
      <c r="E272">
        <v>66104.19</v>
      </c>
      <c r="F272">
        <v>5745</v>
      </c>
      <c r="G272">
        <v>95.8</v>
      </c>
      <c r="H272">
        <f t="shared" si="12"/>
        <v>0</v>
      </c>
      <c r="I272">
        <f t="shared" si="13"/>
        <v>1</v>
      </c>
      <c r="J272">
        <f t="shared" si="14"/>
        <v>0</v>
      </c>
      <c r="K272">
        <v>17</v>
      </c>
      <c r="L272">
        <v>7.0000000000000007E-2</v>
      </c>
      <c r="M272">
        <v>3.15</v>
      </c>
      <c r="N272">
        <v>0</v>
      </c>
      <c r="O272">
        <v>4</v>
      </c>
      <c r="P272">
        <v>714083.68</v>
      </c>
      <c r="Q272">
        <v>127231.74</v>
      </c>
    </row>
    <row r="273" spans="1:17">
      <c r="A273" t="s">
        <v>92</v>
      </c>
      <c r="B273" s="2">
        <v>45748</v>
      </c>
      <c r="C273" t="s">
        <v>24</v>
      </c>
      <c r="D273" t="s">
        <v>18</v>
      </c>
      <c r="E273">
        <v>18599.21</v>
      </c>
      <c r="F273">
        <v>3027</v>
      </c>
      <c r="G273">
        <v>80.900000000000006</v>
      </c>
      <c r="H273">
        <f t="shared" si="12"/>
        <v>0</v>
      </c>
      <c r="I273">
        <f t="shared" si="13"/>
        <v>1</v>
      </c>
      <c r="J273">
        <f t="shared" si="14"/>
        <v>0</v>
      </c>
      <c r="K273">
        <v>11</v>
      </c>
      <c r="L273">
        <v>0.122</v>
      </c>
      <c r="M273">
        <v>6.44</v>
      </c>
      <c r="N273">
        <v>0</v>
      </c>
      <c r="O273">
        <v>4.2</v>
      </c>
      <c r="P273">
        <v>497439.82</v>
      </c>
      <c r="Q273">
        <v>93372.75</v>
      </c>
    </row>
    <row r="274" spans="1:17">
      <c r="A274" t="s">
        <v>93</v>
      </c>
      <c r="B274" s="2">
        <v>45658</v>
      </c>
      <c r="C274" t="s">
        <v>27</v>
      </c>
      <c r="D274" t="s">
        <v>16</v>
      </c>
      <c r="E274">
        <v>60183.06</v>
      </c>
      <c r="F274">
        <v>5562</v>
      </c>
      <c r="G274">
        <v>86.3</v>
      </c>
      <c r="H274">
        <f t="shared" si="12"/>
        <v>0</v>
      </c>
      <c r="I274">
        <f t="shared" si="13"/>
        <v>0</v>
      </c>
      <c r="J274">
        <f t="shared" si="14"/>
        <v>1</v>
      </c>
      <c r="K274">
        <v>13</v>
      </c>
      <c r="L274">
        <v>8.9999999999999993E-3</v>
      </c>
      <c r="M274">
        <v>0.2</v>
      </c>
      <c r="N274">
        <v>1</v>
      </c>
      <c r="O274">
        <v>4.5</v>
      </c>
      <c r="P274">
        <v>636775.66</v>
      </c>
      <c r="Q274">
        <v>122636.86</v>
      </c>
    </row>
    <row r="275" spans="1:17">
      <c r="A275" t="s">
        <v>93</v>
      </c>
      <c r="B275" s="2">
        <v>45689</v>
      </c>
      <c r="C275" t="s">
        <v>27</v>
      </c>
      <c r="D275" t="s">
        <v>16</v>
      </c>
      <c r="E275">
        <v>74539.14</v>
      </c>
      <c r="F275">
        <v>4487</v>
      </c>
      <c r="G275">
        <v>90.4</v>
      </c>
      <c r="H275">
        <f t="shared" si="12"/>
        <v>0</v>
      </c>
      <c r="I275">
        <f t="shared" si="13"/>
        <v>0</v>
      </c>
      <c r="J275">
        <f t="shared" si="14"/>
        <v>1</v>
      </c>
      <c r="K275">
        <v>10</v>
      </c>
      <c r="L275">
        <v>0.14000000000000001</v>
      </c>
      <c r="M275">
        <v>0.59</v>
      </c>
      <c r="N275">
        <v>0</v>
      </c>
      <c r="O275">
        <v>4.5</v>
      </c>
      <c r="P275">
        <v>633009.53</v>
      </c>
      <c r="Q275">
        <v>123782.67</v>
      </c>
    </row>
    <row r="276" spans="1:17">
      <c r="A276" t="s">
        <v>93</v>
      </c>
      <c r="B276" s="2">
        <v>45717</v>
      </c>
      <c r="C276" t="s">
        <v>27</v>
      </c>
      <c r="D276" t="s">
        <v>16</v>
      </c>
      <c r="E276">
        <v>55371.97</v>
      </c>
      <c r="F276">
        <v>4162</v>
      </c>
      <c r="G276">
        <v>92</v>
      </c>
      <c r="H276">
        <f t="shared" si="12"/>
        <v>0</v>
      </c>
      <c r="I276">
        <f t="shared" si="13"/>
        <v>0</v>
      </c>
      <c r="J276">
        <f t="shared" si="14"/>
        <v>1</v>
      </c>
      <c r="K276">
        <v>11</v>
      </c>
      <c r="L276">
        <v>0.183</v>
      </c>
      <c r="M276">
        <v>0.2</v>
      </c>
      <c r="N276">
        <v>1</v>
      </c>
      <c r="O276">
        <v>4.2</v>
      </c>
      <c r="P276">
        <v>609949</v>
      </c>
      <c r="Q276">
        <v>126789.25</v>
      </c>
    </row>
    <row r="277" spans="1:17">
      <c r="A277" t="s">
        <v>93</v>
      </c>
      <c r="B277" s="2">
        <v>45748</v>
      </c>
      <c r="C277" t="s">
        <v>27</v>
      </c>
      <c r="D277" t="s">
        <v>16</v>
      </c>
      <c r="E277">
        <v>40928.69</v>
      </c>
      <c r="F277">
        <v>4094</v>
      </c>
      <c r="G277">
        <v>82.4</v>
      </c>
      <c r="H277">
        <f t="shared" si="12"/>
        <v>0</v>
      </c>
      <c r="I277">
        <f t="shared" si="13"/>
        <v>0</v>
      </c>
      <c r="J277">
        <f t="shared" si="14"/>
        <v>1</v>
      </c>
      <c r="K277">
        <v>13</v>
      </c>
      <c r="L277">
        <v>0.17399999999999999</v>
      </c>
      <c r="M277">
        <v>1.36</v>
      </c>
      <c r="N277">
        <v>0</v>
      </c>
      <c r="O277">
        <v>4.8</v>
      </c>
      <c r="P277">
        <v>548103.69999999995</v>
      </c>
      <c r="Q277">
        <v>99905.52</v>
      </c>
    </row>
    <row r="278" spans="1:17">
      <c r="A278" t="s">
        <v>94</v>
      </c>
      <c r="B278" s="2">
        <v>45658</v>
      </c>
      <c r="C278" t="s">
        <v>15</v>
      </c>
      <c r="D278" t="s">
        <v>16</v>
      </c>
      <c r="E278">
        <v>70012.41</v>
      </c>
      <c r="F278">
        <v>8484</v>
      </c>
      <c r="G278">
        <v>72.900000000000006</v>
      </c>
      <c r="H278">
        <f t="shared" si="12"/>
        <v>0</v>
      </c>
      <c r="I278">
        <f t="shared" si="13"/>
        <v>0</v>
      </c>
      <c r="J278">
        <f t="shared" si="14"/>
        <v>1</v>
      </c>
      <c r="K278">
        <v>23</v>
      </c>
      <c r="L278">
        <v>0.27300000000000002</v>
      </c>
      <c r="M278">
        <v>3.34</v>
      </c>
      <c r="N278">
        <v>0</v>
      </c>
      <c r="O278">
        <v>3.7</v>
      </c>
      <c r="P278">
        <v>729424.42</v>
      </c>
      <c r="Q278">
        <v>75592.28</v>
      </c>
    </row>
    <row r="279" spans="1:17">
      <c r="A279" t="s">
        <v>94</v>
      </c>
      <c r="B279" s="2">
        <v>45689</v>
      </c>
      <c r="C279" t="s">
        <v>15</v>
      </c>
      <c r="D279" t="s">
        <v>16</v>
      </c>
      <c r="E279">
        <v>68909.259999999995</v>
      </c>
      <c r="F279">
        <v>7794</v>
      </c>
      <c r="G279">
        <v>89</v>
      </c>
      <c r="H279">
        <f t="shared" si="12"/>
        <v>0</v>
      </c>
      <c r="I279">
        <f t="shared" si="13"/>
        <v>0</v>
      </c>
      <c r="J279">
        <f t="shared" si="14"/>
        <v>1</v>
      </c>
      <c r="K279">
        <v>22</v>
      </c>
      <c r="L279">
        <v>0.28399999999999997</v>
      </c>
      <c r="M279">
        <v>0.33</v>
      </c>
      <c r="N279">
        <v>0</v>
      </c>
      <c r="O279">
        <v>4</v>
      </c>
      <c r="P279">
        <v>696261.49</v>
      </c>
      <c r="Q279">
        <v>72455.350000000006</v>
      </c>
    </row>
    <row r="280" spans="1:17">
      <c r="A280" t="s">
        <v>94</v>
      </c>
      <c r="B280" s="2">
        <v>45717</v>
      </c>
      <c r="C280" t="s">
        <v>15</v>
      </c>
      <c r="D280" t="s">
        <v>16</v>
      </c>
      <c r="E280">
        <v>56737.3</v>
      </c>
      <c r="F280">
        <v>8300</v>
      </c>
      <c r="G280">
        <v>83.2</v>
      </c>
      <c r="H280">
        <f t="shared" si="12"/>
        <v>0</v>
      </c>
      <c r="I280">
        <f t="shared" si="13"/>
        <v>0</v>
      </c>
      <c r="J280">
        <f t="shared" si="14"/>
        <v>1</v>
      </c>
      <c r="K280">
        <v>21</v>
      </c>
      <c r="L280">
        <v>3.2000000000000001E-2</v>
      </c>
      <c r="M280">
        <v>3.44</v>
      </c>
      <c r="N280">
        <v>1</v>
      </c>
      <c r="O280">
        <v>4.3</v>
      </c>
      <c r="P280">
        <v>813316.71</v>
      </c>
      <c r="Q280">
        <v>110077.42</v>
      </c>
    </row>
    <row r="281" spans="1:17">
      <c r="A281" t="s">
        <v>94</v>
      </c>
      <c r="B281" s="2">
        <v>45748</v>
      </c>
      <c r="C281" t="s">
        <v>15</v>
      </c>
      <c r="D281" t="s">
        <v>16</v>
      </c>
      <c r="E281">
        <v>54080.91</v>
      </c>
      <c r="F281">
        <v>7083</v>
      </c>
      <c r="G281">
        <v>97</v>
      </c>
      <c r="H281">
        <f t="shared" si="12"/>
        <v>0</v>
      </c>
      <c r="I281">
        <f t="shared" si="13"/>
        <v>0</v>
      </c>
      <c r="J281">
        <f t="shared" si="14"/>
        <v>1</v>
      </c>
      <c r="K281">
        <v>15</v>
      </c>
      <c r="L281">
        <v>0</v>
      </c>
      <c r="M281">
        <v>5.33</v>
      </c>
      <c r="N281">
        <v>0</v>
      </c>
      <c r="O281">
        <v>4.0999999999999996</v>
      </c>
      <c r="P281">
        <v>702068.92</v>
      </c>
      <c r="Q281">
        <v>111266.63</v>
      </c>
    </row>
    <row r="282" spans="1:17">
      <c r="A282" t="s">
        <v>95</v>
      </c>
      <c r="B282" s="2">
        <v>45658</v>
      </c>
      <c r="C282" t="s">
        <v>27</v>
      </c>
      <c r="D282" t="s">
        <v>18</v>
      </c>
      <c r="E282">
        <v>51996.32</v>
      </c>
      <c r="F282">
        <v>3834</v>
      </c>
      <c r="G282">
        <v>86.7</v>
      </c>
      <c r="H282">
        <f t="shared" si="12"/>
        <v>0</v>
      </c>
      <c r="I282">
        <f t="shared" si="13"/>
        <v>1</v>
      </c>
      <c r="J282">
        <f t="shared" si="14"/>
        <v>0</v>
      </c>
      <c r="K282">
        <v>8</v>
      </c>
      <c r="L282">
        <v>9.6000000000000002E-2</v>
      </c>
      <c r="M282">
        <v>6.04</v>
      </c>
      <c r="N282">
        <v>0</v>
      </c>
      <c r="O282">
        <v>4.5</v>
      </c>
      <c r="P282">
        <v>546223.69999999995</v>
      </c>
      <c r="Q282">
        <v>100769.17</v>
      </c>
    </row>
    <row r="283" spans="1:17">
      <c r="A283" t="s">
        <v>95</v>
      </c>
      <c r="B283" s="2">
        <v>45689</v>
      </c>
      <c r="C283" t="s">
        <v>27</v>
      </c>
      <c r="D283" t="s">
        <v>18</v>
      </c>
      <c r="E283">
        <v>40102.879999999997</v>
      </c>
      <c r="F283">
        <v>2358</v>
      </c>
      <c r="G283">
        <v>88.7</v>
      </c>
      <c r="H283">
        <f t="shared" si="12"/>
        <v>0</v>
      </c>
      <c r="I283">
        <f t="shared" si="13"/>
        <v>1</v>
      </c>
      <c r="J283">
        <f t="shared" si="14"/>
        <v>0</v>
      </c>
      <c r="K283">
        <v>9</v>
      </c>
      <c r="L283">
        <v>0.11899999999999999</v>
      </c>
      <c r="M283">
        <v>1.6</v>
      </c>
      <c r="N283">
        <v>0</v>
      </c>
      <c r="O283">
        <v>4.2</v>
      </c>
      <c r="P283">
        <v>533121.26</v>
      </c>
      <c r="Q283">
        <v>55063.39</v>
      </c>
    </row>
    <row r="284" spans="1:17">
      <c r="A284" t="s">
        <v>95</v>
      </c>
      <c r="B284" s="2">
        <v>45717</v>
      </c>
      <c r="C284" t="s">
        <v>27</v>
      </c>
      <c r="D284" t="s">
        <v>18</v>
      </c>
      <c r="E284">
        <v>59825.51</v>
      </c>
      <c r="F284">
        <v>1231</v>
      </c>
      <c r="G284">
        <v>84.8</v>
      </c>
      <c r="H284">
        <f t="shared" si="12"/>
        <v>0</v>
      </c>
      <c r="I284">
        <f t="shared" si="13"/>
        <v>1</v>
      </c>
      <c r="J284">
        <f t="shared" si="14"/>
        <v>0</v>
      </c>
      <c r="K284">
        <v>10</v>
      </c>
      <c r="L284">
        <v>0.214</v>
      </c>
      <c r="M284">
        <v>8.9600000000000009</v>
      </c>
      <c r="N284">
        <v>0</v>
      </c>
      <c r="O284">
        <v>4.7</v>
      </c>
      <c r="P284">
        <v>498970.32</v>
      </c>
      <c r="Q284">
        <v>69656.7</v>
      </c>
    </row>
    <row r="285" spans="1:17">
      <c r="A285" t="s">
        <v>95</v>
      </c>
      <c r="B285" s="2">
        <v>45748</v>
      </c>
      <c r="C285" t="s">
        <v>27</v>
      </c>
      <c r="D285" t="s">
        <v>18</v>
      </c>
      <c r="E285">
        <v>27398.28</v>
      </c>
      <c r="F285">
        <v>1723</v>
      </c>
      <c r="G285">
        <v>81</v>
      </c>
      <c r="H285">
        <f t="shared" si="12"/>
        <v>0</v>
      </c>
      <c r="I285">
        <f t="shared" si="13"/>
        <v>1</v>
      </c>
      <c r="J285">
        <f t="shared" si="14"/>
        <v>0</v>
      </c>
      <c r="K285">
        <v>9</v>
      </c>
      <c r="L285">
        <v>0.17100000000000001</v>
      </c>
      <c r="M285">
        <v>0.74</v>
      </c>
      <c r="N285">
        <v>0</v>
      </c>
      <c r="O285">
        <v>4.5999999999999996</v>
      </c>
      <c r="P285">
        <v>487738.26</v>
      </c>
      <c r="Q285">
        <v>96435.6</v>
      </c>
    </row>
    <row r="286" spans="1:17">
      <c r="A286" t="s">
        <v>96</v>
      </c>
      <c r="B286" s="2">
        <v>45658</v>
      </c>
      <c r="C286" t="s">
        <v>27</v>
      </c>
      <c r="D286" t="s">
        <v>18</v>
      </c>
      <c r="E286">
        <v>55599.56</v>
      </c>
      <c r="F286">
        <v>5896</v>
      </c>
      <c r="G286">
        <v>93.1</v>
      </c>
      <c r="H286">
        <f t="shared" si="12"/>
        <v>0</v>
      </c>
      <c r="I286">
        <f t="shared" si="13"/>
        <v>1</v>
      </c>
      <c r="J286">
        <f t="shared" si="14"/>
        <v>0</v>
      </c>
      <c r="K286">
        <v>12</v>
      </c>
      <c r="L286">
        <v>3.5999999999999997E-2</v>
      </c>
      <c r="M286">
        <v>6.13</v>
      </c>
      <c r="N286">
        <v>0</v>
      </c>
      <c r="O286">
        <v>3.3</v>
      </c>
      <c r="P286">
        <v>668459.37</v>
      </c>
      <c r="Q286">
        <v>126435.42</v>
      </c>
    </row>
    <row r="287" spans="1:17">
      <c r="A287" t="s">
        <v>96</v>
      </c>
      <c r="B287" s="2">
        <v>45689</v>
      </c>
      <c r="C287" t="s">
        <v>27</v>
      </c>
      <c r="D287" t="s">
        <v>18</v>
      </c>
      <c r="E287">
        <v>55477.61</v>
      </c>
      <c r="F287">
        <v>5903</v>
      </c>
      <c r="G287">
        <v>96.2</v>
      </c>
      <c r="H287">
        <f t="shared" si="12"/>
        <v>0</v>
      </c>
      <c r="I287">
        <f t="shared" si="13"/>
        <v>1</v>
      </c>
      <c r="J287">
        <f t="shared" si="14"/>
        <v>0</v>
      </c>
      <c r="K287">
        <v>14</v>
      </c>
      <c r="L287">
        <v>0.10199999999999999</v>
      </c>
      <c r="M287">
        <v>1.41</v>
      </c>
      <c r="N287">
        <v>0</v>
      </c>
      <c r="O287">
        <v>3.3</v>
      </c>
      <c r="P287">
        <v>763162.45</v>
      </c>
      <c r="Q287">
        <v>162524.04999999999</v>
      </c>
    </row>
    <row r="288" spans="1:17">
      <c r="A288" t="s">
        <v>96</v>
      </c>
      <c r="B288" s="2">
        <v>45717</v>
      </c>
      <c r="C288" t="s">
        <v>27</v>
      </c>
      <c r="D288" t="s">
        <v>18</v>
      </c>
      <c r="E288">
        <v>46174.7</v>
      </c>
      <c r="F288">
        <v>4898</v>
      </c>
      <c r="G288">
        <v>91.7</v>
      </c>
      <c r="H288">
        <f t="shared" si="12"/>
        <v>0</v>
      </c>
      <c r="I288">
        <f t="shared" si="13"/>
        <v>1</v>
      </c>
      <c r="J288">
        <f t="shared" si="14"/>
        <v>0</v>
      </c>
      <c r="K288">
        <v>11</v>
      </c>
      <c r="L288">
        <v>0.114</v>
      </c>
      <c r="M288">
        <v>3.75</v>
      </c>
      <c r="N288">
        <v>0</v>
      </c>
      <c r="O288">
        <v>3.1</v>
      </c>
      <c r="P288">
        <v>599017.32999999996</v>
      </c>
      <c r="Q288">
        <v>134009.92000000001</v>
      </c>
    </row>
    <row r="289" spans="1:17">
      <c r="A289" t="s">
        <v>96</v>
      </c>
      <c r="B289" s="2">
        <v>45748</v>
      </c>
      <c r="C289" t="s">
        <v>27</v>
      </c>
      <c r="D289" t="s">
        <v>18</v>
      </c>
      <c r="E289">
        <v>24362.98</v>
      </c>
      <c r="F289">
        <v>1462</v>
      </c>
      <c r="G289">
        <v>89.3</v>
      </c>
      <c r="H289">
        <f t="shared" si="12"/>
        <v>0</v>
      </c>
      <c r="I289">
        <f t="shared" si="13"/>
        <v>1</v>
      </c>
      <c r="J289">
        <f t="shared" si="14"/>
        <v>0</v>
      </c>
      <c r="K289">
        <v>6</v>
      </c>
      <c r="L289">
        <v>0.11700000000000001</v>
      </c>
      <c r="M289">
        <v>15.06</v>
      </c>
      <c r="N289">
        <v>0</v>
      </c>
      <c r="O289">
        <v>3.2</v>
      </c>
      <c r="P289">
        <v>401582.58</v>
      </c>
      <c r="Q289">
        <v>68454.929999999993</v>
      </c>
    </row>
    <row r="290" spans="1:17">
      <c r="A290" t="s">
        <v>97</v>
      </c>
      <c r="B290" s="2">
        <v>45658</v>
      </c>
      <c r="C290" t="s">
        <v>20</v>
      </c>
      <c r="D290" t="s">
        <v>28</v>
      </c>
      <c r="E290">
        <v>40647.67</v>
      </c>
      <c r="F290">
        <v>8252</v>
      </c>
      <c r="G290">
        <v>88.2</v>
      </c>
      <c r="H290">
        <f t="shared" si="12"/>
        <v>1</v>
      </c>
      <c r="I290">
        <f t="shared" si="13"/>
        <v>0</v>
      </c>
      <c r="J290">
        <f t="shared" si="14"/>
        <v>0</v>
      </c>
      <c r="K290">
        <v>22</v>
      </c>
      <c r="L290">
        <v>0.14099999999999999</v>
      </c>
      <c r="M290">
        <v>5.07</v>
      </c>
      <c r="N290">
        <v>1</v>
      </c>
      <c r="O290">
        <v>4.0999999999999996</v>
      </c>
      <c r="P290">
        <v>703812.99</v>
      </c>
      <c r="Q290">
        <v>133577.98000000001</v>
      </c>
    </row>
    <row r="291" spans="1:17">
      <c r="A291" t="s">
        <v>97</v>
      </c>
      <c r="B291" s="2">
        <v>45689</v>
      </c>
      <c r="C291" t="s">
        <v>20</v>
      </c>
      <c r="D291" t="s">
        <v>28</v>
      </c>
      <c r="E291">
        <v>63986.98</v>
      </c>
      <c r="F291">
        <v>7989</v>
      </c>
      <c r="G291">
        <v>83.3</v>
      </c>
      <c r="H291">
        <f t="shared" si="12"/>
        <v>1</v>
      </c>
      <c r="I291">
        <f t="shared" si="13"/>
        <v>0</v>
      </c>
      <c r="J291">
        <f t="shared" si="14"/>
        <v>0</v>
      </c>
      <c r="K291">
        <v>20</v>
      </c>
      <c r="L291">
        <v>7.3999999999999996E-2</v>
      </c>
      <c r="M291">
        <v>3.6</v>
      </c>
      <c r="N291">
        <v>0</v>
      </c>
      <c r="O291">
        <v>3.7</v>
      </c>
      <c r="P291">
        <v>724346.73</v>
      </c>
      <c r="Q291">
        <v>155013.91</v>
      </c>
    </row>
    <row r="292" spans="1:17">
      <c r="A292" t="s">
        <v>97</v>
      </c>
      <c r="B292" s="2">
        <v>45717</v>
      </c>
      <c r="C292" t="s">
        <v>20</v>
      </c>
      <c r="D292" t="s">
        <v>28</v>
      </c>
      <c r="E292">
        <v>52843.75</v>
      </c>
      <c r="F292">
        <v>8268</v>
      </c>
      <c r="G292">
        <v>87.3</v>
      </c>
      <c r="H292">
        <f t="shared" si="12"/>
        <v>1</v>
      </c>
      <c r="I292">
        <f t="shared" si="13"/>
        <v>0</v>
      </c>
      <c r="J292">
        <f t="shared" si="14"/>
        <v>0</v>
      </c>
      <c r="K292">
        <v>19</v>
      </c>
      <c r="L292">
        <v>0.13800000000000001</v>
      </c>
      <c r="M292">
        <v>4.3899999999999997</v>
      </c>
      <c r="N292">
        <v>1</v>
      </c>
      <c r="O292">
        <v>4.7</v>
      </c>
      <c r="P292">
        <v>730890.01</v>
      </c>
      <c r="Q292">
        <v>105502.56</v>
      </c>
    </row>
    <row r="293" spans="1:17">
      <c r="A293" t="s">
        <v>97</v>
      </c>
      <c r="B293" s="2">
        <v>45748</v>
      </c>
      <c r="C293" t="s">
        <v>20</v>
      </c>
      <c r="D293" t="s">
        <v>28</v>
      </c>
      <c r="E293">
        <v>31997.25</v>
      </c>
      <c r="F293">
        <v>8183</v>
      </c>
      <c r="G293">
        <v>93</v>
      </c>
      <c r="H293">
        <f t="shared" si="12"/>
        <v>1</v>
      </c>
      <c r="I293">
        <f t="shared" si="13"/>
        <v>0</v>
      </c>
      <c r="J293">
        <f t="shared" si="14"/>
        <v>0</v>
      </c>
      <c r="K293">
        <v>18</v>
      </c>
      <c r="L293">
        <v>0.19800000000000001</v>
      </c>
      <c r="M293">
        <v>2.79</v>
      </c>
      <c r="N293">
        <v>0</v>
      </c>
      <c r="O293">
        <v>4.2</v>
      </c>
      <c r="P293">
        <v>780580.95</v>
      </c>
      <c r="Q293">
        <v>138144.46</v>
      </c>
    </row>
    <row r="294" spans="1:17">
      <c r="A294" t="s">
        <v>98</v>
      </c>
      <c r="B294" s="2">
        <v>45658</v>
      </c>
      <c r="C294" t="s">
        <v>24</v>
      </c>
      <c r="D294" t="s">
        <v>16</v>
      </c>
      <c r="E294">
        <v>54948.02</v>
      </c>
      <c r="F294">
        <v>6534</v>
      </c>
      <c r="G294">
        <v>94.5</v>
      </c>
      <c r="H294">
        <f t="shared" si="12"/>
        <v>0</v>
      </c>
      <c r="I294">
        <f t="shared" si="13"/>
        <v>0</v>
      </c>
      <c r="J294">
        <f t="shared" si="14"/>
        <v>1</v>
      </c>
      <c r="K294">
        <v>14</v>
      </c>
      <c r="L294">
        <v>0.183</v>
      </c>
      <c r="M294">
        <v>1.56</v>
      </c>
      <c r="N294">
        <v>0</v>
      </c>
      <c r="O294">
        <v>4</v>
      </c>
      <c r="P294">
        <v>727957.48</v>
      </c>
      <c r="Q294">
        <v>74805.23</v>
      </c>
    </row>
    <row r="295" spans="1:17">
      <c r="A295" t="s">
        <v>98</v>
      </c>
      <c r="B295" s="2">
        <v>45689</v>
      </c>
      <c r="C295" t="s">
        <v>24</v>
      </c>
      <c r="D295" t="s">
        <v>16</v>
      </c>
      <c r="E295">
        <v>46146.239999999998</v>
      </c>
      <c r="F295">
        <v>5804</v>
      </c>
      <c r="G295">
        <v>86.9</v>
      </c>
      <c r="H295">
        <f t="shared" si="12"/>
        <v>0</v>
      </c>
      <c r="I295">
        <f t="shared" si="13"/>
        <v>0</v>
      </c>
      <c r="J295">
        <f t="shared" si="14"/>
        <v>1</v>
      </c>
      <c r="K295">
        <v>16</v>
      </c>
      <c r="L295">
        <v>4.7E-2</v>
      </c>
      <c r="M295">
        <v>15.82</v>
      </c>
      <c r="N295">
        <v>0</v>
      </c>
      <c r="O295">
        <v>3.8</v>
      </c>
      <c r="P295">
        <v>538376</v>
      </c>
      <c r="Q295">
        <v>87605.62</v>
      </c>
    </row>
    <row r="296" spans="1:17">
      <c r="A296" t="s">
        <v>98</v>
      </c>
      <c r="B296" s="2">
        <v>45717</v>
      </c>
      <c r="C296" t="s">
        <v>24</v>
      </c>
      <c r="D296" t="s">
        <v>16</v>
      </c>
      <c r="E296">
        <v>22387.26</v>
      </c>
      <c r="F296">
        <v>6301</v>
      </c>
      <c r="G296">
        <v>85.9</v>
      </c>
      <c r="H296">
        <f t="shared" si="12"/>
        <v>0</v>
      </c>
      <c r="I296">
        <f t="shared" si="13"/>
        <v>0</v>
      </c>
      <c r="J296">
        <f t="shared" si="14"/>
        <v>1</v>
      </c>
      <c r="K296">
        <v>14</v>
      </c>
      <c r="L296">
        <v>0.14599999999999999</v>
      </c>
      <c r="M296">
        <v>1.17</v>
      </c>
      <c r="N296">
        <v>1</v>
      </c>
      <c r="O296">
        <v>3.7</v>
      </c>
      <c r="P296">
        <v>665342.49</v>
      </c>
      <c r="Q296">
        <v>93441.81</v>
      </c>
    </row>
    <row r="297" spans="1:17">
      <c r="A297" t="s">
        <v>98</v>
      </c>
      <c r="B297" s="2">
        <v>45748</v>
      </c>
      <c r="C297" t="s">
        <v>24</v>
      </c>
      <c r="D297" t="s">
        <v>16</v>
      </c>
      <c r="E297">
        <v>60684.05</v>
      </c>
      <c r="F297">
        <v>6399</v>
      </c>
      <c r="G297">
        <v>99</v>
      </c>
      <c r="H297">
        <f t="shared" si="12"/>
        <v>0</v>
      </c>
      <c r="I297">
        <f t="shared" si="13"/>
        <v>0</v>
      </c>
      <c r="J297">
        <f t="shared" si="14"/>
        <v>1</v>
      </c>
      <c r="K297">
        <v>16</v>
      </c>
      <c r="L297">
        <v>7.4999999999999997E-2</v>
      </c>
      <c r="M297">
        <v>3.82</v>
      </c>
      <c r="N297">
        <v>0</v>
      </c>
      <c r="O297">
        <v>3.5</v>
      </c>
      <c r="P297">
        <v>651164.18000000005</v>
      </c>
      <c r="Q297">
        <v>109466.5</v>
      </c>
    </row>
    <row r="298" spans="1:17">
      <c r="A298" t="s">
        <v>99</v>
      </c>
      <c r="B298" s="2">
        <v>45658</v>
      </c>
      <c r="C298" t="s">
        <v>24</v>
      </c>
      <c r="D298" t="s">
        <v>18</v>
      </c>
      <c r="E298">
        <v>48465.599999999999</v>
      </c>
      <c r="F298">
        <v>5759</v>
      </c>
      <c r="G298">
        <v>87.5</v>
      </c>
      <c r="H298">
        <f t="shared" si="12"/>
        <v>0</v>
      </c>
      <c r="I298">
        <f t="shared" si="13"/>
        <v>1</v>
      </c>
      <c r="J298">
        <f t="shared" si="14"/>
        <v>0</v>
      </c>
      <c r="K298">
        <v>13</v>
      </c>
      <c r="L298">
        <v>0.154</v>
      </c>
      <c r="M298">
        <v>4.1399999999999997</v>
      </c>
      <c r="N298">
        <v>0</v>
      </c>
      <c r="O298">
        <v>4</v>
      </c>
      <c r="P298">
        <v>628538.30000000005</v>
      </c>
      <c r="Q298">
        <v>112509.15</v>
      </c>
    </row>
    <row r="299" spans="1:17">
      <c r="A299" t="s">
        <v>99</v>
      </c>
      <c r="B299" s="2">
        <v>45689</v>
      </c>
      <c r="C299" t="s">
        <v>24</v>
      </c>
      <c r="D299" t="s">
        <v>18</v>
      </c>
      <c r="E299">
        <v>23702.38</v>
      </c>
      <c r="F299">
        <v>5285</v>
      </c>
      <c r="G299">
        <v>79.7</v>
      </c>
      <c r="H299">
        <f t="shared" si="12"/>
        <v>0</v>
      </c>
      <c r="I299">
        <f t="shared" si="13"/>
        <v>1</v>
      </c>
      <c r="J299">
        <f t="shared" si="14"/>
        <v>0</v>
      </c>
      <c r="K299">
        <v>14</v>
      </c>
      <c r="L299">
        <v>0.16700000000000001</v>
      </c>
      <c r="M299">
        <v>1.1000000000000001</v>
      </c>
      <c r="N299">
        <v>0</v>
      </c>
      <c r="O299">
        <v>4.3</v>
      </c>
      <c r="P299">
        <v>536524.84</v>
      </c>
      <c r="Q299">
        <v>92752.94</v>
      </c>
    </row>
    <row r="300" spans="1:17">
      <c r="A300" t="s">
        <v>99</v>
      </c>
      <c r="B300" s="2">
        <v>45717</v>
      </c>
      <c r="C300" t="s">
        <v>24</v>
      </c>
      <c r="D300" t="s">
        <v>18</v>
      </c>
      <c r="E300">
        <v>54322.94</v>
      </c>
      <c r="F300">
        <v>5434</v>
      </c>
      <c r="G300">
        <v>85.7</v>
      </c>
      <c r="H300">
        <f t="shared" si="12"/>
        <v>0</v>
      </c>
      <c r="I300">
        <f t="shared" si="13"/>
        <v>1</v>
      </c>
      <c r="J300">
        <f t="shared" si="14"/>
        <v>0</v>
      </c>
      <c r="K300">
        <v>13</v>
      </c>
      <c r="L300">
        <v>0.2</v>
      </c>
      <c r="M300">
        <v>10.6</v>
      </c>
      <c r="N300">
        <v>0</v>
      </c>
      <c r="O300">
        <v>4.2</v>
      </c>
      <c r="P300">
        <v>621677.30000000005</v>
      </c>
      <c r="Q300">
        <v>105192.52</v>
      </c>
    </row>
    <row r="301" spans="1:17">
      <c r="A301" t="s">
        <v>100</v>
      </c>
      <c r="B301" s="2">
        <v>45658</v>
      </c>
      <c r="C301" t="s">
        <v>20</v>
      </c>
      <c r="D301" t="s">
        <v>16</v>
      </c>
      <c r="E301">
        <v>78967.520000000004</v>
      </c>
      <c r="F301">
        <v>6164</v>
      </c>
      <c r="G301">
        <v>85.5</v>
      </c>
      <c r="H301">
        <f t="shared" si="12"/>
        <v>0</v>
      </c>
      <c r="I301">
        <f t="shared" si="13"/>
        <v>0</v>
      </c>
      <c r="J301">
        <f t="shared" si="14"/>
        <v>1</v>
      </c>
      <c r="K301">
        <v>16</v>
      </c>
      <c r="L301">
        <v>2.1000000000000001E-2</v>
      </c>
      <c r="M301">
        <v>0.2</v>
      </c>
      <c r="N301">
        <v>0</v>
      </c>
      <c r="O301">
        <v>3.4</v>
      </c>
      <c r="P301">
        <v>702052.47</v>
      </c>
      <c r="Q301">
        <v>121732.51</v>
      </c>
    </row>
    <row r="302" spans="1:17">
      <c r="A302" t="s">
        <v>100</v>
      </c>
      <c r="B302" s="2">
        <v>45717</v>
      </c>
      <c r="C302" t="s">
        <v>20</v>
      </c>
      <c r="D302" t="s">
        <v>16</v>
      </c>
      <c r="E302">
        <v>62507.16</v>
      </c>
      <c r="F302">
        <v>6000</v>
      </c>
      <c r="G302">
        <v>98.2</v>
      </c>
      <c r="H302">
        <f t="shared" si="12"/>
        <v>0</v>
      </c>
      <c r="I302">
        <f t="shared" si="13"/>
        <v>0</v>
      </c>
      <c r="J302">
        <f t="shared" si="14"/>
        <v>1</v>
      </c>
      <c r="K302">
        <v>14</v>
      </c>
      <c r="L302">
        <v>9.0999999999999998E-2</v>
      </c>
      <c r="M302">
        <v>4.38</v>
      </c>
      <c r="N302">
        <v>1</v>
      </c>
      <c r="O302">
        <v>3.9</v>
      </c>
      <c r="P302">
        <v>712375.77</v>
      </c>
      <c r="Q302">
        <v>104171.53</v>
      </c>
    </row>
    <row r="303" spans="1:17">
      <c r="A303" t="s">
        <v>100</v>
      </c>
      <c r="B303" s="2">
        <v>45748</v>
      </c>
      <c r="C303" t="s">
        <v>20</v>
      </c>
      <c r="D303" t="s">
        <v>16</v>
      </c>
      <c r="E303">
        <v>66456.28</v>
      </c>
      <c r="F303">
        <v>9967</v>
      </c>
      <c r="G303">
        <v>94.7</v>
      </c>
      <c r="H303">
        <f t="shared" si="12"/>
        <v>0</v>
      </c>
      <c r="I303">
        <f t="shared" si="13"/>
        <v>0</v>
      </c>
      <c r="J303">
        <f t="shared" si="14"/>
        <v>1</v>
      </c>
      <c r="K303">
        <v>20</v>
      </c>
      <c r="L303">
        <v>0.108</v>
      </c>
      <c r="M303">
        <v>4.4800000000000004</v>
      </c>
      <c r="N303">
        <v>0</v>
      </c>
      <c r="O303">
        <v>4.2</v>
      </c>
      <c r="P303">
        <v>844710.67</v>
      </c>
      <c r="Q303">
        <v>137140.18</v>
      </c>
    </row>
    <row r="304" spans="1:17">
      <c r="A304" t="s">
        <v>101</v>
      </c>
      <c r="B304" s="2">
        <v>45658</v>
      </c>
      <c r="C304" t="s">
        <v>15</v>
      </c>
      <c r="D304" t="s">
        <v>16</v>
      </c>
      <c r="E304">
        <v>76614.320000000007</v>
      </c>
      <c r="F304">
        <v>5639</v>
      </c>
      <c r="G304">
        <v>92.9</v>
      </c>
      <c r="H304">
        <f t="shared" si="12"/>
        <v>0</v>
      </c>
      <c r="I304">
        <f t="shared" si="13"/>
        <v>0</v>
      </c>
      <c r="J304">
        <f t="shared" si="14"/>
        <v>1</v>
      </c>
      <c r="K304">
        <v>15</v>
      </c>
      <c r="L304">
        <v>0.17399999999999999</v>
      </c>
      <c r="M304">
        <v>1.02</v>
      </c>
      <c r="N304">
        <v>1</v>
      </c>
      <c r="O304">
        <v>4</v>
      </c>
      <c r="P304">
        <v>620264.19999999995</v>
      </c>
      <c r="Q304">
        <v>91365.64</v>
      </c>
    </row>
    <row r="305" spans="1:17">
      <c r="A305" t="s">
        <v>101</v>
      </c>
      <c r="B305" s="2">
        <v>45689</v>
      </c>
      <c r="C305" t="s">
        <v>15</v>
      </c>
      <c r="D305" t="s">
        <v>16</v>
      </c>
      <c r="E305">
        <v>24088.06</v>
      </c>
      <c r="F305">
        <v>3466</v>
      </c>
      <c r="G305">
        <v>88</v>
      </c>
      <c r="H305">
        <f t="shared" si="12"/>
        <v>0</v>
      </c>
      <c r="I305">
        <f t="shared" si="13"/>
        <v>0</v>
      </c>
      <c r="J305">
        <f t="shared" si="14"/>
        <v>1</v>
      </c>
      <c r="K305">
        <v>11</v>
      </c>
      <c r="L305">
        <v>0</v>
      </c>
      <c r="M305">
        <v>0.2</v>
      </c>
      <c r="N305">
        <v>0</v>
      </c>
      <c r="O305">
        <v>3.8</v>
      </c>
      <c r="P305">
        <v>536845.42000000004</v>
      </c>
      <c r="Q305">
        <v>107473.75</v>
      </c>
    </row>
    <row r="306" spans="1:17">
      <c r="A306" t="s">
        <v>101</v>
      </c>
      <c r="B306" s="2">
        <v>45717</v>
      </c>
      <c r="C306" t="s">
        <v>15</v>
      </c>
      <c r="D306" t="s">
        <v>16</v>
      </c>
      <c r="E306">
        <v>81902.58</v>
      </c>
      <c r="F306">
        <v>7775</v>
      </c>
      <c r="G306">
        <v>85.2</v>
      </c>
      <c r="H306">
        <f t="shared" si="12"/>
        <v>0</v>
      </c>
      <c r="I306">
        <f t="shared" si="13"/>
        <v>0</v>
      </c>
      <c r="J306">
        <f t="shared" si="14"/>
        <v>1</v>
      </c>
      <c r="K306">
        <v>20</v>
      </c>
      <c r="L306">
        <v>0.215</v>
      </c>
      <c r="M306">
        <v>4.8899999999999997</v>
      </c>
      <c r="N306">
        <v>1</v>
      </c>
      <c r="O306">
        <v>4.2</v>
      </c>
      <c r="P306">
        <v>726776.22</v>
      </c>
      <c r="Q306">
        <v>90804.49</v>
      </c>
    </row>
    <row r="307" spans="1:17">
      <c r="A307" t="s">
        <v>101</v>
      </c>
      <c r="B307" s="2">
        <v>45748</v>
      </c>
      <c r="C307" t="s">
        <v>15</v>
      </c>
      <c r="D307" t="s">
        <v>16</v>
      </c>
      <c r="E307">
        <v>40553.11</v>
      </c>
      <c r="F307">
        <v>5317</v>
      </c>
      <c r="G307">
        <v>84.3</v>
      </c>
      <c r="H307">
        <f t="shared" si="12"/>
        <v>0</v>
      </c>
      <c r="I307">
        <f t="shared" si="13"/>
        <v>0</v>
      </c>
      <c r="J307">
        <f t="shared" si="14"/>
        <v>1</v>
      </c>
      <c r="K307">
        <v>17</v>
      </c>
      <c r="L307">
        <v>0.16500000000000001</v>
      </c>
      <c r="M307">
        <v>11.82</v>
      </c>
      <c r="N307">
        <v>0</v>
      </c>
      <c r="O307">
        <v>4.0999999999999996</v>
      </c>
      <c r="P307">
        <v>559660.84</v>
      </c>
      <c r="Q307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C71D-9A1C-46A4-8816-00FB86F60E5D}">
  <dimension ref="A1:I330"/>
  <sheetViews>
    <sheetView workbookViewId="0"/>
  </sheetViews>
  <sheetFormatPr defaultRowHeight="15"/>
  <cols>
    <col min="1" max="1" width="18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0.39677003572023367</v>
      </c>
    </row>
    <row r="5" spans="1:9">
      <c r="A5" t="s">
        <v>106</v>
      </c>
      <c r="B5">
        <v>0.15742646124543552</v>
      </c>
    </row>
    <row r="6" spans="1:9">
      <c r="A6" t="s">
        <v>107</v>
      </c>
      <c r="B6">
        <v>0.15465483776269026</v>
      </c>
    </row>
    <row r="7" spans="1:9">
      <c r="A7" t="s">
        <v>108</v>
      </c>
      <c r="B7">
        <v>94635.423763365616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1</v>
      </c>
      <c r="C12">
        <v>508687379832.36523</v>
      </c>
      <c r="D12">
        <v>508687379832.36523</v>
      </c>
      <c r="E12">
        <v>56.799367672229948</v>
      </c>
      <c r="F12">
        <v>5.5808922954192511E-13</v>
      </c>
    </row>
    <row r="13" spans="1:9">
      <c r="A13" t="s">
        <v>112</v>
      </c>
      <c r="B13">
        <v>304</v>
      </c>
      <c r="C13">
        <v>2722582482985.0225</v>
      </c>
      <c r="D13">
        <v>8955863430.8717842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567463.56033652381</v>
      </c>
      <c r="C17">
        <v>16298.145715224813</v>
      </c>
      <c r="D17">
        <v>34.817676210026221</v>
      </c>
      <c r="E17">
        <v>4.2374507868026198E-108</v>
      </c>
      <c r="F17">
        <v>535392.09950096905</v>
      </c>
      <c r="G17">
        <v>599535.02117207856</v>
      </c>
      <c r="H17">
        <v>535392.09950096905</v>
      </c>
      <c r="I17">
        <v>599535.02117207856</v>
      </c>
    </row>
    <row r="18" spans="1:9" ht="15.75" thickBot="1">
      <c r="A18" s="3" t="s">
        <v>4</v>
      </c>
      <c r="B18" s="3">
        <v>2.0519315848668951</v>
      </c>
      <c r="C18" s="3">
        <v>0.27226456757427608</v>
      </c>
      <c r="D18" s="3">
        <v>7.5365355218582044</v>
      </c>
      <c r="E18" s="3">
        <v>5.580892295417896E-13</v>
      </c>
      <c r="F18" s="3">
        <v>1.5161698750111063</v>
      </c>
      <c r="G18" s="3">
        <v>2.5876932947226838</v>
      </c>
      <c r="H18" s="3">
        <v>1.5161698750111063</v>
      </c>
      <c r="I18" s="3">
        <v>2.5876932947226838</v>
      </c>
    </row>
    <row r="22" spans="1:9">
      <c r="A22" t="s">
        <v>127</v>
      </c>
    </row>
    <row r="23" spans="1:9" ht="15.75" thickBot="1"/>
    <row r="24" spans="1:9">
      <c r="A24" s="4" t="s">
        <v>128</v>
      </c>
      <c r="B24" s="4" t="s">
        <v>129</v>
      </c>
      <c r="C24" s="4" t="s">
        <v>130</v>
      </c>
    </row>
    <row r="25" spans="1:9">
      <c r="A25">
        <v>1</v>
      </c>
      <c r="B25">
        <v>711897.19837619399</v>
      </c>
      <c r="C25">
        <v>-53064.578376193997</v>
      </c>
    </row>
    <row r="26" spans="1:9">
      <c r="A26">
        <v>2</v>
      </c>
      <c r="B26">
        <v>657395.39212559571</v>
      </c>
      <c r="C26">
        <v>-22959.39212559571</v>
      </c>
    </row>
    <row r="27" spans="1:9">
      <c r="A27">
        <v>3</v>
      </c>
      <c r="B27">
        <v>690418.89178202162</v>
      </c>
      <c r="C27">
        <v>-11696.83178202156</v>
      </c>
    </row>
    <row r="28" spans="1:9">
      <c r="A28">
        <v>4</v>
      </c>
      <c r="B28">
        <v>684129.47524261451</v>
      </c>
      <c r="C28">
        <v>-25209.175242614467</v>
      </c>
    </row>
    <row r="29" spans="1:9">
      <c r="A29">
        <v>5</v>
      </c>
      <c r="B29">
        <v>666802.98545931419</v>
      </c>
      <c r="C29">
        <v>74538.454540685751</v>
      </c>
    </row>
    <row r="30" spans="1:9">
      <c r="A30">
        <v>6</v>
      </c>
      <c r="B30">
        <v>700451.72918896494</v>
      </c>
      <c r="C30">
        <v>61383.610811035032</v>
      </c>
    </row>
    <row r="31" spans="1:9">
      <c r="A31">
        <v>7</v>
      </c>
      <c r="B31">
        <v>662290.39803719078</v>
      </c>
      <c r="C31">
        <v>144325.14196280926</v>
      </c>
    </row>
    <row r="32" spans="1:9">
      <c r="A32">
        <v>8</v>
      </c>
      <c r="B32">
        <v>707299.66098645714</v>
      </c>
      <c r="C32">
        <v>142864.59901354287</v>
      </c>
    </row>
    <row r="33" spans="1:3">
      <c r="A33">
        <v>9</v>
      </c>
      <c r="B33">
        <v>714871.98619135481</v>
      </c>
      <c r="C33">
        <v>215709.71380864515</v>
      </c>
    </row>
    <row r="34" spans="1:3">
      <c r="A34">
        <v>10</v>
      </c>
      <c r="B34">
        <v>707268.71785815735</v>
      </c>
      <c r="C34">
        <v>71742.222141842591</v>
      </c>
    </row>
    <row r="35" spans="1:3">
      <c r="A35">
        <v>11</v>
      </c>
      <c r="B35">
        <v>637814.46562931815</v>
      </c>
      <c r="C35">
        <v>85246.294370681862</v>
      </c>
    </row>
    <row r="36" spans="1:3">
      <c r="A36">
        <v>12</v>
      </c>
      <c r="B36">
        <v>706953.62324398523</v>
      </c>
      <c r="C36">
        <v>203838.31675601471</v>
      </c>
    </row>
    <row r="37" spans="1:3">
      <c r="A37">
        <v>13</v>
      </c>
      <c r="B37">
        <v>714850.23571655527</v>
      </c>
      <c r="C37">
        <v>207318.36428344471</v>
      </c>
    </row>
    <row r="38" spans="1:3">
      <c r="A38">
        <v>14</v>
      </c>
      <c r="B38">
        <v>681790.66310286731</v>
      </c>
      <c r="C38">
        <v>44815.616897132713</v>
      </c>
    </row>
    <row r="39" spans="1:3">
      <c r="A39">
        <v>15</v>
      </c>
      <c r="B39">
        <v>690393.7761394229</v>
      </c>
      <c r="C39">
        <v>56107.313860577065</v>
      </c>
    </row>
    <row r="40" spans="1:3">
      <c r="A40">
        <v>16</v>
      </c>
      <c r="B40">
        <v>721985.72520635067</v>
      </c>
      <c r="C40">
        <v>112031.29479364934</v>
      </c>
    </row>
    <row r="41" spans="1:3">
      <c r="A41">
        <v>17</v>
      </c>
      <c r="B41">
        <v>667606.48082931642</v>
      </c>
      <c r="C41">
        <v>-1453.9608293164056</v>
      </c>
    </row>
    <row r="42" spans="1:3">
      <c r="A42">
        <v>18</v>
      </c>
      <c r="B42">
        <v>688769.4465775264</v>
      </c>
      <c r="C42">
        <v>-115614.25657752645</v>
      </c>
    </row>
    <row r="43" spans="1:3">
      <c r="A43">
        <v>19</v>
      </c>
      <c r="B43">
        <v>729219.62533495622</v>
      </c>
      <c r="C43">
        <v>-62646.425334956264</v>
      </c>
    </row>
    <row r="44" spans="1:3">
      <c r="A44">
        <v>20</v>
      </c>
      <c r="B44">
        <v>652499.56544136675</v>
      </c>
      <c r="C44">
        <v>-60879.615441366797</v>
      </c>
    </row>
    <row r="45" spans="1:3">
      <c r="A45">
        <v>21</v>
      </c>
      <c r="B45">
        <v>629752.57006758708</v>
      </c>
      <c r="C45">
        <v>-214030.75006758707</v>
      </c>
    </row>
    <row r="46" spans="1:3">
      <c r="A46">
        <v>22</v>
      </c>
      <c r="B46">
        <v>636242.00889788708</v>
      </c>
      <c r="C46">
        <v>-144336.87889788707</v>
      </c>
    </row>
    <row r="47" spans="1:3">
      <c r="A47">
        <v>23</v>
      </c>
      <c r="B47">
        <v>654193.31184877921</v>
      </c>
      <c r="C47">
        <v>-98263.911848779186</v>
      </c>
    </row>
    <row r="48" spans="1:3">
      <c r="A48">
        <v>24</v>
      </c>
      <c r="B48">
        <v>694807.3168239448</v>
      </c>
      <c r="C48">
        <v>-128996.32682394481</v>
      </c>
    </row>
    <row r="49" spans="1:3">
      <c r="A49">
        <v>25</v>
      </c>
      <c r="B49">
        <v>685853.22088979778</v>
      </c>
      <c r="C49">
        <v>125917.91911020223</v>
      </c>
    </row>
    <row r="50" spans="1:3">
      <c r="A50">
        <v>26</v>
      </c>
      <c r="B50">
        <v>921248.41154577362</v>
      </c>
      <c r="C50">
        <v>-120796.47154577367</v>
      </c>
    </row>
    <row r="51" spans="1:3">
      <c r="A51">
        <v>27</v>
      </c>
      <c r="B51">
        <v>680874.8860365412</v>
      </c>
      <c r="C51">
        <v>102797.93396345875</v>
      </c>
    </row>
    <row r="52" spans="1:3">
      <c r="A52">
        <v>28</v>
      </c>
      <c r="B52">
        <v>675631.33902594063</v>
      </c>
      <c r="C52">
        <v>26010.630974059342</v>
      </c>
    </row>
    <row r="53" spans="1:3">
      <c r="A53">
        <v>29</v>
      </c>
      <c r="B53">
        <v>708227.33925597544</v>
      </c>
      <c r="C53">
        <v>-196382.92925597547</v>
      </c>
    </row>
    <row r="54" spans="1:3">
      <c r="A54">
        <v>30</v>
      </c>
      <c r="B54">
        <v>697097.88805213175</v>
      </c>
      <c r="C54">
        <v>-159714.09805213171</v>
      </c>
    </row>
    <row r="55" spans="1:3">
      <c r="A55">
        <v>31</v>
      </c>
      <c r="B55">
        <v>659739.08786251489</v>
      </c>
      <c r="C55">
        <v>-159566.06786251487</v>
      </c>
    </row>
    <row r="56" spans="1:3">
      <c r="A56">
        <v>32</v>
      </c>
      <c r="B56">
        <v>710721.93404164561</v>
      </c>
      <c r="C56">
        <v>-282804.55404164561</v>
      </c>
    </row>
    <row r="57" spans="1:3">
      <c r="A57">
        <v>33</v>
      </c>
      <c r="B57">
        <v>679494.57217871712</v>
      </c>
      <c r="C57">
        <v>-37629.542178717093</v>
      </c>
    </row>
    <row r="58" spans="1:3">
      <c r="A58">
        <v>34</v>
      </c>
      <c r="B58">
        <v>720155.75106101879</v>
      </c>
      <c r="C58">
        <v>78796.418938981253</v>
      </c>
    </row>
    <row r="59" spans="1:3">
      <c r="A59">
        <v>35</v>
      </c>
      <c r="B59">
        <v>675156.66569241346</v>
      </c>
      <c r="C59">
        <v>125823.11430758657</v>
      </c>
    </row>
    <row r="60" spans="1:3">
      <c r="A60">
        <v>36</v>
      </c>
      <c r="B60">
        <v>721912.18397834897</v>
      </c>
      <c r="C60">
        <v>98681.746021651081</v>
      </c>
    </row>
    <row r="61" spans="1:3">
      <c r="A61">
        <v>37</v>
      </c>
      <c r="B61">
        <v>693134.95154364663</v>
      </c>
      <c r="C61">
        <v>25195.578456353396</v>
      </c>
    </row>
    <row r="62" spans="1:3">
      <c r="A62">
        <v>38</v>
      </c>
      <c r="B62">
        <v>759075.51716519136</v>
      </c>
      <c r="C62">
        <v>-22442.117165191332</v>
      </c>
    </row>
    <row r="63" spans="1:3">
      <c r="A63">
        <v>39</v>
      </c>
      <c r="B63">
        <v>700864.12639889156</v>
      </c>
      <c r="C63">
        <v>127759.72360110842</v>
      </c>
    </row>
    <row r="64" spans="1:3">
      <c r="A64">
        <v>40</v>
      </c>
      <c r="B64">
        <v>650490.7449390979</v>
      </c>
      <c r="C64">
        <v>-58294.894939097925</v>
      </c>
    </row>
    <row r="65" spans="1:3">
      <c r="A65">
        <v>41</v>
      </c>
      <c r="B65">
        <v>662106.6065251343</v>
      </c>
      <c r="C65">
        <v>-129462.14652513433</v>
      </c>
    </row>
    <row r="66" spans="1:3">
      <c r="A66">
        <v>42</v>
      </c>
      <c r="B66">
        <v>707154.01488256326</v>
      </c>
      <c r="C66">
        <v>-49724.834882563213</v>
      </c>
    </row>
    <row r="67" spans="1:3">
      <c r="A67">
        <v>43</v>
      </c>
      <c r="B67">
        <v>700597.27269627957</v>
      </c>
      <c r="C67">
        <v>-95419.272696279571</v>
      </c>
    </row>
    <row r="68" spans="1:3">
      <c r="A68">
        <v>44</v>
      </c>
      <c r="B68">
        <v>852385.56703832489</v>
      </c>
      <c r="C68">
        <v>-256917.96703832492</v>
      </c>
    </row>
    <row r="69" spans="1:3">
      <c r="A69">
        <v>45</v>
      </c>
      <c r="B69">
        <v>698028.3979872372</v>
      </c>
      <c r="C69">
        <v>-98424.997987237177</v>
      </c>
    </row>
    <row r="70" spans="1:3">
      <c r="A70">
        <v>46</v>
      </c>
      <c r="B70">
        <v>670149.70639354805</v>
      </c>
      <c r="C70">
        <v>-55349.616393548087</v>
      </c>
    </row>
    <row r="71" spans="1:3">
      <c r="A71">
        <v>47</v>
      </c>
      <c r="B71">
        <v>653837.24016085733</v>
      </c>
      <c r="C71">
        <v>-68471.510160857346</v>
      </c>
    </row>
    <row r="72" spans="1:3">
      <c r="A72">
        <v>48</v>
      </c>
      <c r="B72">
        <v>663132.92114593717</v>
      </c>
      <c r="C72">
        <v>-40321.181145937182</v>
      </c>
    </row>
    <row r="73" spans="1:3">
      <c r="A73">
        <v>49</v>
      </c>
      <c r="B73">
        <v>669465.67448041681</v>
      </c>
      <c r="C73">
        <v>-66168.104480416863</v>
      </c>
    </row>
    <row r="74" spans="1:3">
      <c r="A74">
        <v>50</v>
      </c>
      <c r="B74">
        <v>666546.92491683876</v>
      </c>
      <c r="C74">
        <v>-40874.064916838775</v>
      </c>
    </row>
    <row r="75" spans="1:3">
      <c r="A75">
        <v>51</v>
      </c>
      <c r="B75">
        <v>701480.32145382697</v>
      </c>
      <c r="C75">
        <v>72334.818546173046</v>
      </c>
    </row>
    <row r="76" spans="1:3">
      <c r="A76">
        <v>52</v>
      </c>
      <c r="B76">
        <v>676247.65719677124</v>
      </c>
      <c r="C76">
        <v>-212713.40719677124</v>
      </c>
    </row>
    <row r="77" spans="1:3">
      <c r="A77">
        <v>53</v>
      </c>
      <c r="B77">
        <v>772398.19596283592</v>
      </c>
      <c r="C77">
        <v>-25720.445962835918</v>
      </c>
    </row>
    <row r="78" spans="1:3">
      <c r="A78">
        <v>54</v>
      </c>
      <c r="B78">
        <v>734071.17133558379</v>
      </c>
      <c r="C78">
        <v>-13218.671335583786</v>
      </c>
    </row>
    <row r="79" spans="1:3">
      <c r="A79">
        <v>55</v>
      </c>
      <c r="B79">
        <v>624524.9050074534</v>
      </c>
      <c r="C79">
        <v>-137059.99500745343</v>
      </c>
    </row>
    <row r="80" spans="1:3">
      <c r="A80">
        <v>56</v>
      </c>
      <c r="B80">
        <v>607199.33859336632</v>
      </c>
      <c r="C80">
        <v>-89150.078593366314</v>
      </c>
    </row>
    <row r="81" spans="1:3">
      <c r="A81">
        <v>57</v>
      </c>
      <c r="B81">
        <v>689359.95144901937</v>
      </c>
      <c r="C81">
        <v>-189061.47144901939</v>
      </c>
    </row>
    <row r="82" spans="1:3">
      <c r="A82">
        <v>58</v>
      </c>
      <c r="B82">
        <v>811459.730020207</v>
      </c>
      <c r="C82">
        <v>-194168.58002020698</v>
      </c>
    </row>
    <row r="83" spans="1:3">
      <c r="A83">
        <v>59</v>
      </c>
      <c r="B83">
        <v>676117.68785018579</v>
      </c>
      <c r="C83">
        <v>-122361.25785018574</v>
      </c>
    </row>
    <row r="84" spans="1:3">
      <c r="A84">
        <v>60</v>
      </c>
      <c r="B84">
        <v>721169.61045710149</v>
      </c>
      <c r="C84">
        <v>28390.099542898475</v>
      </c>
    </row>
    <row r="85" spans="1:3">
      <c r="A85">
        <v>61</v>
      </c>
      <c r="B85">
        <v>643969.13182154717</v>
      </c>
      <c r="C85">
        <v>-28002.651821547188</v>
      </c>
    </row>
    <row r="86" spans="1:3">
      <c r="A86">
        <v>62</v>
      </c>
      <c r="B86">
        <v>670764.34198047908</v>
      </c>
      <c r="C86">
        <v>-98753.141980479122</v>
      </c>
    </row>
    <row r="87" spans="1:3">
      <c r="A87">
        <v>63</v>
      </c>
      <c r="B87">
        <v>721265.00475648197</v>
      </c>
      <c r="C87">
        <v>40595.185243517975</v>
      </c>
    </row>
    <row r="88" spans="1:3">
      <c r="A88">
        <v>64</v>
      </c>
      <c r="B88">
        <v>711181.48463939247</v>
      </c>
      <c r="C88">
        <v>73321.195360607584</v>
      </c>
    </row>
    <row r="89" spans="1:3">
      <c r="A89">
        <v>65</v>
      </c>
      <c r="B89">
        <v>672417.17287208932</v>
      </c>
      <c r="C89">
        <v>44724.377127910731</v>
      </c>
    </row>
    <row r="90" spans="1:3">
      <c r="A90">
        <v>66</v>
      </c>
      <c r="B90">
        <v>730276.329062531</v>
      </c>
      <c r="C90">
        <v>-44897.249062531046</v>
      </c>
    </row>
    <row r="91" spans="1:3">
      <c r="A91">
        <v>67</v>
      </c>
      <c r="B91">
        <v>653682.44244209491</v>
      </c>
      <c r="C91">
        <v>86814.207557905116</v>
      </c>
    </row>
    <row r="92" spans="1:3">
      <c r="A92">
        <v>68</v>
      </c>
      <c r="B92">
        <v>713021.92363580712</v>
      </c>
      <c r="C92">
        <v>-51094.783635807107</v>
      </c>
    </row>
    <row r="93" spans="1:3">
      <c r="A93">
        <v>69</v>
      </c>
      <c r="B93">
        <v>643002.24113944196</v>
      </c>
      <c r="C93">
        <v>-163951.74113944196</v>
      </c>
    </row>
    <row r="94" spans="1:3">
      <c r="A94">
        <v>70</v>
      </c>
      <c r="B94">
        <v>691752.79094739608</v>
      </c>
      <c r="C94">
        <v>-86728.92094739608</v>
      </c>
    </row>
    <row r="95" spans="1:3">
      <c r="A95">
        <v>71</v>
      </c>
      <c r="B95">
        <v>662265.79537748825</v>
      </c>
      <c r="C95">
        <v>-46196.385377488215</v>
      </c>
    </row>
    <row r="96" spans="1:3">
      <c r="A96">
        <v>72</v>
      </c>
      <c r="B96">
        <v>677781.39397919585</v>
      </c>
      <c r="C96">
        <v>-46951.453979195911</v>
      </c>
    </row>
    <row r="97" spans="1:3">
      <c r="A97">
        <v>73</v>
      </c>
      <c r="B97">
        <v>711395.84993206349</v>
      </c>
      <c r="C97">
        <v>76691.830067936564</v>
      </c>
    </row>
    <row r="98" spans="1:3">
      <c r="A98">
        <v>74</v>
      </c>
      <c r="B98">
        <v>688013.78173276747</v>
      </c>
      <c r="C98">
        <v>-7173.4217327674851</v>
      </c>
    </row>
    <row r="99" spans="1:3">
      <c r="A99">
        <v>75</v>
      </c>
      <c r="B99">
        <v>684368.62786883069</v>
      </c>
      <c r="C99">
        <v>-40711.15786883072</v>
      </c>
    </row>
    <row r="100" spans="1:3">
      <c r="A100">
        <v>76</v>
      </c>
      <c r="B100">
        <v>680058.83284523967</v>
      </c>
      <c r="C100">
        <v>11053.767154760309</v>
      </c>
    </row>
    <row r="101" spans="1:3">
      <c r="A101">
        <v>77</v>
      </c>
      <c r="B101">
        <v>732772.93474115431</v>
      </c>
      <c r="C101">
        <v>44149.235258845729</v>
      </c>
    </row>
    <row r="102" spans="1:3">
      <c r="A102">
        <v>78</v>
      </c>
      <c r="B102">
        <v>727514.01876298315</v>
      </c>
      <c r="C102">
        <v>-90952.678762983182</v>
      </c>
    </row>
    <row r="103" spans="1:3">
      <c r="A103">
        <v>79</v>
      </c>
      <c r="B103">
        <v>692387.22767412104</v>
      </c>
      <c r="C103">
        <v>-71017.647674121079</v>
      </c>
    </row>
    <row r="104" spans="1:3">
      <c r="A104">
        <v>80</v>
      </c>
      <c r="B104">
        <v>691868.8481978362</v>
      </c>
      <c r="C104">
        <v>-9660.8381978361867</v>
      </c>
    </row>
    <row r="105" spans="1:3">
      <c r="A105">
        <v>81</v>
      </c>
      <c r="B105">
        <v>716702.88370589982</v>
      </c>
      <c r="C105">
        <v>10538.976294100168</v>
      </c>
    </row>
    <row r="106" spans="1:3">
      <c r="A106">
        <v>82</v>
      </c>
      <c r="B106">
        <v>642309.22176596907</v>
      </c>
      <c r="C106">
        <v>-73208.441765969037</v>
      </c>
    </row>
    <row r="107" spans="1:3">
      <c r="A107">
        <v>83</v>
      </c>
      <c r="B107">
        <v>681116.17267160572</v>
      </c>
      <c r="C107">
        <v>-106679.88267160568</v>
      </c>
    </row>
    <row r="108" spans="1:3">
      <c r="A108">
        <v>84</v>
      </c>
      <c r="B108">
        <v>727990.08740998805</v>
      </c>
      <c r="C108">
        <v>-113393.7674099881</v>
      </c>
    </row>
    <row r="109" spans="1:3">
      <c r="A109">
        <v>85</v>
      </c>
      <c r="B109">
        <v>606442.70934076246</v>
      </c>
      <c r="C109">
        <v>-155730.78934076248</v>
      </c>
    </row>
    <row r="110" spans="1:3">
      <c r="A110">
        <v>86</v>
      </c>
      <c r="B110">
        <v>671122.91702493455</v>
      </c>
      <c r="C110">
        <v>40090.542975065415</v>
      </c>
    </row>
    <row r="111" spans="1:3">
      <c r="A111">
        <v>87</v>
      </c>
      <c r="B111">
        <v>857894.55191874376</v>
      </c>
      <c r="C111">
        <v>-230722.65191874374</v>
      </c>
    </row>
    <row r="112" spans="1:3">
      <c r="A112">
        <v>88</v>
      </c>
      <c r="B112">
        <v>735960.36422645487</v>
      </c>
      <c r="C112">
        <v>3892.2157735450892</v>
      </c>
    </row>
    <row r="113" spans="1:3">
      <c r="A113">
        <v>89</v>
      </c>
      <c r="B113">
        <v>631499.23579057329</v>
      </c>
      <c r="C113">
        <v>-45192.015790573321</v>
      </c>
    </row>
    <row r="114" spans="1:3">
      <c r="A114">
        <v>90</v>
      </c>
      <c r="B114">
        <v>647420.33711208228</v>
      </c>
      <c r="C114">
        <v>-61482.857112082304</v>
      </c>
    </row>
    <row r="115" spans="1:3">
      <c r="A115">
        <v>91</v>
      </c>
      <c r="B115">
        <v>705844.39006783778</v>
      </c>
      <c r="C115">
        <v>47629.159932162263</v>
      </c>
    </row>
    <row r="116" spans="1:3">
      <c r="A116">
        <v>92</v>
      </c>
      <c r="B116">
        <v>744795.34553210041</v>
      </c>
      <c r="C116">
        <v>93454.974467899534</v>
      </c>
    </row>
    <row r="117" spans="1:3">
      <c r="A117">
        <v>93</v>
      </c>
      <c r="B117">
        <v>587028.00982217491</v>
      </c>
      <c r="C117">
        <v>20870.110177825089</v>
      </c>
    </row>
    <row r="118" spans="1:3">
      <c r="A118">
        <v>94</v>
      </c>
      <c r="B118">
        <v>692902.38561781775</v>
      </c>
      <c r="C118">
        <v>-1788.7656178177567</v>
      </c>
    </row>
    <row r="119" spans="1:3">
      <c r="A119">
        <v>95</v>
      </c>
      <c r="B119">
        <v>729236.59480916301</v>
      </c>
      <c r="C119">
        <v>6272.8051908370107</v>
      </c>
    </row>
    <row r="120" spans="1:3">
      <c r="A120">
        <v>96</v>
      </c>
      <c r="B120">
        <v>680527.24778743309</v>
      </c>
      <c r="C120">
        <v>-5349.5677874330431</v>
      </c>
    </row>
    <row r="121" spans="1:3">
      <c r="A121">
        <v>97</v>
      </c>
      <c r="B121">
        <v>676389.85605560255</v>
      </c>
      <c r="C121">
        <v>-41208.506055602571</v>
      </c>
    </row>
    <row r="122" spans="1:3">
      <c r="A122">
        <v>98</v>
      </c>
      <c r="B122">
        <v>696943.70591284486</v>
      </c>
      <c r="C122">
        <v>-110316.76591284492</v>
      </c>
    </row>
    <row r="123" spans="1:3">
      <c r="A123">
        <v>99</v>
      </c>
      <c r="B123">
        <v>752310.58600030711</v>
      </c>
      <c r="C123">
        <v>-12207.9460003071</v>
      </c>
    </row>
    <row r="124" spans="1:3">
      <c r="A124">
        <v>100</v>
      </c>
      <c r="B124">
        <v>633672.49809005333</v>
      </c>
      <c r="C124">
        <v>-8158.4580900532892</v>
      </c>
    </row>
    <row r="125" spans="1:3">
      <c r="A125">
        <v>101</v>
      </c>
      <c r="B125">
        <v>686309.52943564043</v>
      </c>
      <c r="C125">
        <v>40917.67056435952</v>
      </c>
    </row>
    <row r="126" spans="1:3">
      <c r="A126">
        <v>102</v>
      </c>
      <c r="B126">
        <v>720700.47733885341</v>
      </c>
      <c r="C126">
        <v>63097.412661146605</v>
      </c>
    </row>
    <row r="127" spans="1:3">
      <c r="A127">
        <v>103</v>
      </c>
      <c r="B127">
        <v>699390.92159822048</v>
      </c>
      <c r="C127">
        <v>95762.918401779491</v>
      </c>
    </row>
    <row r="128" spans="1:3">
      <c r="A128">
        <v>104</v>
      </c>
      <c r="B128">
        <v>631159.68215190945</v>
      </c>
      <c r="C128">
        <v>34435.257848090492</v>
      </c>
    </row>
    <row r="129" spans="1:3">
      <c r="A129">
        <v>105</v>
      </c>
      <c r="B129">
        <v>721902.23211016238</v>
      </c>
      <c r="C129">
        <v>-12423.842110162368</v>
      </c>
    </row>
    <row r="130" spans="1:3">
      <c r="A130">
        <v>106</v>
      </c>
      <c r="B130">
        <v>709891.61992582923</v>
      </c>
      <c r="C130">
        <v>-45729.129925829242</v>
      </c>
    </row>
    <row r="131" spans="1:3">
      <c r="A131">
        <v>107</v>
      </c>
      <c r="B131">
        <v>672227.28712322575</v>
      </c>
      <c r="C131">
        <v>-38733.077123225783</v>
      </c>
    </row>
    <row r="132" spans="1:3">
      <c r="A132">
        <v>108</v>
      </c>
      <c r="B132">
        <v>675719.38741024735</v>
      </c>
      <c r="C132">
        <v>37891.772589752683</v>
      </c>
    </row>
    <row r="133" spans="1:3">
      <c r="A133">
        <v>109</v>
      </c>
      <c r="B133">
        <v>693505.59194582107</v>
      </c>
      <c r="C133">
        <v>84892.378054178902</v>
      </c>
    </row>
    <row r="134" spans="1:3">
      <c r="A134">
        <v>110</v>
      </c>
      <c r="B134">
        <v>731979.92474155081</v>
      </c>
      <c r="C134">
        <v>141400.0952584492</v>
      </c>
    </row>
    <row r="135" spans="1:3">
      <c r="A135">
        <v>111</v>
      </c>
      <c r="B135">
        <v>636419.09059366107</v>
      </c>
      <c r="C135">
        <v>60868.809406338958</v>
      </c>
    </row>
    <row r="136" spans="1:3">
      <c r="A136">
        <v>112</v>
      </c>
      <c r="B136">
        <v>620794.37027027027</v>
      </c>
      <c r="C136">
        <v>97280.419729729765</v>
      </c>
    </row>
    <row r="137" spans="1:3">
      <c r="A137">
        <v>113</v>
      </c>
      <c r="B137">
        <v>657102.47889185604</v>
      </c>
      <c r="C137">
        <v>57839.951108144014</v>
      </c>
    </row>
    <row r="138" spans="1:3">
      <c r="A138">
        <v>114</v>
      </c>
      <c r="B138">
        <v>685162.37656380481</v>
      </c>
      <c r="C138">
        <v>135356.66343619523</v>
      </c>
    </row>
    <row r="139" spans="1:3">
      <c r="A139">
        <v>115</v>
      </c>
      <c r="B139">
        <v>654497.20291649806</v>
      </c>
      <c r="C139">
        <v>29720.117083501886</v>
      </c>
    </row>
    <row r="140" spans="1:3">
      <c r="A140">
        <v>116</v>
      </c>
      <c r="B140">
        <v>680256.1465864405</v>
      </c>
      <c r="C140">
        <v>55224.043413559441</v>
      </c>
    </row>
    <row r="141" spans="1:3">
      <c r="A141">
        <v>117</v>
      </c>
      <c r="B141">
        <v>657535.4159369471</v>
      </c>
      <c r="C141">
        <v>-148050.6059369471</v>
      </c>
    </row>
    <row r="142" spans="1:3">
      <c r="A142">
        <v>118</v>
      </c>
      <c r="B142">
        <v>737864.51569857961</v>
      </c>
      <c r="C142">
        <v>-83547.425698579638</v>
      </c>
    </row>
    <row r="143" spans="1:3">
      <c r="A143">
        <v>119</v>
      </c>
      <c r="B143">
        <v>666769.10806884803</v>
      </c>
      <c r="C143">
        <v>-109281.84806884802</v>
      </c>
    </row>
    <row r="144" spans="1:3">
      <c r="A144">
        <v>120</v>
      </c>
      <c r="B144">
        <v>606580.51706600212</v>
      </c>
      <c r="C144">
        <v>-165305.09706600214</v>
      </c>
    </row>
    <row r="145" spans="1:3">
      <c r="A145">
        <v>121</v>
      </c>
      <c r="B145">
        <v>693741.91290645022</v>
      </c>
      <c r="C145">
        <v>220802.25709354982</v>
      </c>
    </row>
    <row r="146" spans="1:3">
      <c r="A146">
        <v>122</v>
      </c>
      <c r="B146">
        <v>659281.34296456282</v>
      </c>
      <c r="C146">
        <v>183158.32703543722</v>
      </c>
    </row>
    <row r="147" spans="1:3">
      <c r="A147">
        <v>123</v>
      </c>
      <c r="B147">
        <v>683434.42445687251</v>
      </c>
      <c r="C147">
        <v>158723.49554312753</v>
      </c>
    </row>
    <row r="148" spans="1:3">
      <c r="A148">
        <v>124</v>
      </c>
      <c r="B148">
        <v>645085.05429466115</v>
      </c>
      <c r="C148">
        <v>52070.245705338893</v>
      </c>
    </row>
    <row r="149" spans="1:3">
      <c r="A149">
        <v>125</v>
      </c>
      <c r="B149">
        <v>703405.11535769561</v>
      </c>
      <c r="C149">
        <v>145613.18464230443</v>
      </c>
    </row>
    <row r="150" spans="1:3">
      <c r="A150">
        <v>126</v>
      </c>
      <c r="B150">
        <v>707838.10835364205</v>
      </c>
      <c r="C150">
        <v>93992.241646357928</v>
      </c>
    </row>
    <row r="151" spans="1:3">
      <c r="A151">
        <v>127</v>
      </c>
      <c r="B151">
        <v>671569.60201164417</v>
      </c>
      <c r="C151">
        <v>53665.677988355863</v>
      </c>
    </row>
    <row r="152" spans="1:3">
      <c r="A152">
        <v>128</v>
      </c>
      <c r="B152">
        <v>703826.31535412115</v>
      </c>
      <c r="C152">
        <v>107626.40464587882</v>
      </c>
    </row>
    <row r="153" spans="1:3">
      <c r="A153">
        <v>129</v>
      </c>
      <c r="B153">
        <v>711665.67893547355</v>
      </c>
      <c r="C153">
        <v>-184365.54893547355</v>
      </c>
    </row>
    <row r="154" spans="1:3">
      <c r="A154">
        <v>130</v>
      </c>
      <c r="B154">
        <v>674749.72662050254</v>
      </c>
      <c r="C154">
        <v>-81502.476620502537</v>
      </c>
    </row>
    <row r="155" spans="1:3">
      <c r="A155">
        <v>131</v>
      </c>
      <c r="B155">
        <v>711851.33770527225</v>
      </c>
      <c r="C155">
        <v>-182775.3877052723</v>
      </c>
    </row>
    <row r="156" spans="1:3">
      <c r="A156">
        <v>132</v>
      </c>
      <c r="B156">
        <v>721583.46453845326</v>
      </c>
      <c r="C156">
        <v>21765.375461546704</v>
      </c>
    </row>
    <row r="157" spans="1:3">
      <c r="A157">
        <v>133</v>
      </c>
      <c r="B157">
        <v>710645.29439695086</v>
      </c>
      <c r="C157">
        <v>48182.345603049151</v>
      </c>
    </row>
    <row r="158" spans="1:3">
      <c r="A158">
        <v>134</v>
      </c>
      <c r="B158">
        <v>658183.45697007969</v>
      </c>
      <c r="C158">
        <v>-11623.746970079723</v>
      </c>
    </row>
    <row r="159" spans="1:3">
      <c r="A159">
        <v>135</v>
      </c>
      <c r="B159">
        <v>672995.03784501948</v>
      </c>
      <c r="C159">
        <v>42895.492154980544</v>
      </c>
    </row>
    <row r="160" spans="1:3">
      <c r="A160">
        <v>136</v>
      </c>
      <c r="B160">
        <v>661250.15080092673</v>
      </c>
      <c r="C160">
        <v>53847.419199073222</v>
      </c>
    </row>
    <row r="161" spans="1:3">
      <c r="A161">
        <v>137</v>
      </c>
      <c r="B161">
        <v>657819.54690350359</v>
      </c>
      <c r="C161">
        <v>24819.733096496435</v>
      </c>
    </row>
    <row r="162" spans="1:3">
      <c r="A162">
        <v>138</v>
      </c>
      <c r="B162">
        <v>670466.66826546239</v>
      </c>
      <c r="C162">
        <v>24631.841734537622</v>
      </c>
    </row>
    <row r="163" spans="1:3">
      <c r="A163">
        <v>139</v>
      </c>
      <c r="B163">
        <v>712100.52427693852</v>
      </c>
      <c r="C163">
        <v>-134367.95427693857</v>
      </c>
    </row>
    <row r="164" spans="1:3">
      <c r="A164">
        <v>140</v>
      </c>
      <c r="B164">
        <v>671925.89941204048</v>
      </c>
      <c r="C164">
        <v>-134867.56941204052</v>
      </c>
    </row>
    <row r="165" spans="1:3">
      <c r="A165">
        <v>141</v>
      </c>
      <c r="B165">
        <v>676937.59867286694</v>
      </c>
      <c r="C165">
        <v>-75368.728672866942</v>
      </c>
    </row>
    <row r="166" spans="1:3">
      <c r="A166">
        <v>142</v>
      </c>
      <c r="B166">
        <v>691240.99817149865</v>
      </c>
      <c r="C166">
        <v>-120276.15817149868</v>
      </c>
    </row>
    <row r="167" spans="1:3">
      <c r="A167">
        <v>143</v>
      </c>
      <c r="B167">
        <v>673293.32713951159</v>
      </c>
      <c r="C167">
        <v>-59268.417139511555</v>
      </c>
    </row>
    <row r="168" spans="1:3">
      <c r="A168">
        <v>144</v>
      </c>
      <c r="B168">
        <v>656353.11347706267</v>
      </c>
      <c r="C168">
        <v>56515.23652293731</v>
      </c>
    </row>
    <row r="169" spans="1:3">
      <c r="A169">
        <v>145</v>
      </c>
      <c r="B169">
        <v>664096.30302503216</v>
      </c>
      <c r="C169">
        <v>32647.846974967862</v>
      </c>
    </row>
    <row r="170" spans="1:3">
      <c r="A170">
        <v>146</v>
      </c>
      <c r="B170">
        <v>714905.28904097714</v>
      </c>
      <c r="C170">
        <v>10942.700959022855</v>
      </c>
    </row>
    <row r="171" spans="1:3">
      <c r="A171">
        <v>147</v>
      </c>
      <c r="B171">
        <v>722682.3970180446</v>
      </c>
      <c r="C171">
        <v>62345.852981955395</v>
      </c>
    </row>
    <row r="172" spans="1:3">
      <c r="A172">
        <v>148</v>
      </c>
      <c r="B172">
        <v>699556.14312943397</v>
      </c>
      <c r="C172">
        <v>-1063.473129433929</v>
      </c>
    </row>
    <row r="173" spans="1:3">
      <c r="A173">
        <v>149</v>
      </c>
      <c r="B173">
        <v>693521.59701218305</v>
      </c>
      <c r="C173">
        <v>-7691.3570121830562</v>
      </c>
    </row>
    <row r="174" spans="1:3">
      <c r="A174">
        <v>150</v>
      </c>
      <c r="B174">
        <v>655077.22241759242</v>
      </c>
      <c r="C174">
        <v>47241.717582407524</v>
      </c>
    </row>
    <row r="175" spans="1:3">
      <c r="A175">
        <v>151</v>
      </c>
      <c r="B175">
        <v>745742.16832330555</v>
      </c>
      <c r="C175">
        <v>-45663.848323305603</v>
      </c>
    </row>
    <row r="176" spans="1:3">
      <c r="A176">
        <v>152</v>
      </c>
      <c r="B176">
        <v>653363.73642833345</v>
      </c>
      <c r="C176">
        <v>-51361.416428333498</v>
      </c>
    </row>
    <row r="177" spans="1:3">
      <c r="A177">
        <v>153</v>
      </c>
      <c r="B177">
        <v>684255.73059303127</v>
      </c>
      <c r="C177">
        <v>39960.339406968676</v>
      </c>
    </row>
    <row r="178" spans="1:3">
      <c r="A178">
        <v>154</v>
      </c>
      <c r="B178">
        <v>615180.34701202193</v>
      </c>
      <c r="C178">
        <v>5792.6829879780998</v>
      </c>
    </row>
    <row r="179" spans="1:3">
      <c r="A179">
        <v>155</v>
      </c>
      <c r="B179">
        <v>652502.60230011237</v>
      </c>
      <c r="C179">
        <v>-2022.5423001123127</v>
      </c>
    </row>
    <row r="180" spans="1:3">
      <c r="A180">
        <v>156</v>
      </c>
      <c r="B180">
        <v>666856.76658615365</v>
      </c>
      <c r="C180">
        <v>111442.11341384635</v>
      </c>
    </row>
    <row r="181" spans="1:3">
      <c r="A181">
        <v>157</v>
      </c>
      <c r="B181">
        <v>704677.49761415576</v>
      </c>
      <c r="C181">
        <v>-12668.857614155742</v>
      </c>
    </row>
    <row r="182" spans="1:3">
      <c r="A182">
        <v>158</v>
      </c>
      <c r="B182">
        <v>715511.51170841022</v>
      </c>
      <c r="C182">
        <v>110286.39829158981</v>
      </c>
    </row>
    <row r="183" spans="1:3">
      <c r="A183">
        <v>159</v>
      </c>
      <c r="B183">
        <v>639903.51665655524</v>
      </c>
      <c r="C183">
        <v>66382.003343444783</v>
      </c>
    </row>
    <row r="184" spans="1:3">
      <c r="A184">
        <v>160</v>
      </c>
      <c r="B184">
        <v>629640.9039507386</v>
      </c>
      <c r="C184">
        <v>35893.796049261349</v>
      </c>
    </row>
    <row r="185" spans="1:3">
      <c r="A185">
        <v>161</v>
      </c>
      <c r="B185">
        <v>728400.94567122601</v>
      </c>
      <c r="C185">
        <v>92328.344328774023</v>
      </c>
    </row>
    <row r="186" spans="1:3">
      <c r="A186">
        <v>162</v>
      </c>
      <c r="B186">
        <v>694804.75190946367</v>
      </c>
      <c r="C186">
        <v>45026.978090536315</v>
      </c>
    </row>
    <row r="187" spans="1:3">
      <c r="A187">
        <v>163</v>
      </c>
      <c r="B187">
        <v>634837.66692120419</v>
      </c>
      <c r="C187">
        <v>-41200.526921204175</v>
      </c>
    </row>
    <row r="188" spans="1:3">
      <c r="A188">
        <v>164</v>
      </c>
      <c r="B188">
        <v>671753.1472919106</v>
      </c>
      <c r="C188">
        <v>97949.612708089408</v>
      </c>
    </row>
    <row r="189" spans="1:3">
      <c r="A189">
        <v>165</v>
      </c>
      <c r="B189">
        <v>642577.61441726959</v>
      </c>
      <c r="C189">
        <v>37153.955582730356</v>
      </c>
    </row>
    <row r="190" spans="1:3">
      <c r="A190">
        <v>166</v>
      </c>
      <c r="B190">
        <v>701327.04216443747</v>
      </c>
      <c r="C190">
        <v>79017.137835562578</v>
      </c>
    </row>
    <row r="191" spans="1:3">
      <c r="A191">
        <v>167</v>
      </c>
      <c r="B191">
        <v>657022.1252509926</v>
      </c>
      <c r="C191">
        <v>64341.984749007388</v>
      </c>
    </row>
    <row r="192" spans="1:3">
      <c r="A192">
        <v>168</v>
      </c>
      <c r="B192">
        <v>707077.29316060501</v>
      </c>
      <c r="C192">
        <v>51060.996839395026</v>
      </c>
    </row>
    <row r="193" spans="1:3">
      <c r="A193">
        <v>169</v>
      </c>
      <c r="B193">
        <v>696825.41205697728</v>
      </c>
      <c r="C193">
        <v>107438.58794302272</v>
      </c>
    </row>
    <row r="194" spans="1:3">
      <c r="A194">
        <v>170</v>
      </c>
      <c r="B194">
        <v>705956.81539937272</v>
      </c>
      <c r="C194">
        <v>181580.93460062728</v>
      </c>
    </row>
    <row r="195" spans="1:3">
      <c r="A195">
        <v>171</v>
      </c>
      <c r="B195">
        <v>627768.43430228415</v>
      </c>
      <c r="C195">
        <v>155813.56569771585</v>
      </c>
    </row>
    <row r="196" spans="1:3">
      <c r="A196">
        <v>172</v>
      </c>
      <c r="B196">
        <v>650638.79180294601</v>
      </c>
      <c r="C196">
        <v>131316.72819705401</v>
      </c>
    </row>
    <row r="197" spans="1:3">
      <c r="A197">
        <v>173</v>
      </c>
      <c r="B197">
        <v>721115.39842462935</v>
      </c>
      <c r="C197">
        <v>176915.64157537068</v>
      </c>
    </row>
    <row r="198" spans="1:3">
      <c r="A198">
        <v>174</v>
      </c>
      <c r="B198">
        <v>708002.63222811662</v>
      </c>
      <c r="C198">
        <v>147338.64777188341</v>
      </c>
    </row>
    <row r="199" spans="1:3">
      <c r="A199">
        <v>175</v>
      </c>
      <c r="B199">
        <v>660229.84833966754</v>
      </c>
      <c r="C199">
        <v>91164.031660332461</v>
      </c>
    </row>
    <row r="200" spans="1:3">
      <c r="A200">
        <v>176</v>
      </c>
      <c r="B200">
        <v>696756.24144325138</v>
      </c>
      <c r="C200">
        <v>64320.838556748582</v>
      </c>
    </row>
    <row r="201" spans="1:3">
      <c r="A201">
        <v>177</v>
      </c>
      <c r="B201">
        <v>686370.69751618535</v>
      </c>
      <c r="C201">
        <v>133289.89248381462</v>
      </c>
    </row>
    <row r="202" spans="1:3">
      <c r="A202">
        <v>178</v>
      </c>
      <c r="B202">
        <v>715082.84268101573</v>
      </c>
      <c r="C202">
        <v>-33227.282681015669</v>
      </c>
    </row>
    <row r="203" spans="1:3">
      <c r="A203">
        <v>179</v>
      </c>
      <c r="B203">
        <v>684727.10031670693</v>
      </c>
      <c r="C203">
        <v>-6415.9303167068865</v>
      </c>
    </row>
    <row r="204" spans="1:3">
      <c r="A204">
        <v>180</v>
      </c>
      <c r="B204">
        <v>666021.4047186384</v>
      </c>
      <c r="C204">
        <v>99885.545281361556</v>
      </c>
    </row>
    <row r="205" spans="1:3">
      <c r="A205">
        <v>181</v>
      </c>
      <c r="B205">
        <v>716812.99035474379</v>
      </c>
      <c r="C205">
        <v>-4266.6103547437815</v>
      </c>
    </row>
    <row r="206" spans="1:3">
      <c r="A206">
        <v>182</v>
      </c>
      <c r="B206">
        <v>714467.83774639945</v>
      </c>
      <c r="C206">
        <v>-88474.007746399497</v>
      </c>
    </row>
    <row r="207" spans="1:3">
      <c r="A207">
        <v>183</v>
      </c>
      <c r="B207">
        <v>681937.97127134493</v>
      </c>
      <c r="C207">
        <v>-130975.04127134487</v>
      </c>
    </row>
    <row r="208" spans="1:3">
      <c r="A208">
        <v>184</v>
      </c>
      <c r="B208">
        <v>644833.4464437248</v>
      </c>
      <c r="C208">
        <v>-201557.85644372477</v>
      </c>
    </row>
    <row r="209" spans="1:3">
      <c r="A209">
        <v>185</v>
      </c>
      <c r="B209">
        <v>680250.40117800282</v>
      </c>
      <c r="C209">
        <v>-126238.33117800287</v>
      </c>
    </row>
    <row r="210" spans="1:3">
      <c r="A210">
        <v>186</v>
      </c>
      <c r="B210">
        <v>735304.87468166917</v>
      </c>
      <c r="C210">
        <v>-91876.024681669194</v>
      </c>
    </row>
    <row r="211" spans="1:3">
      <c r="A211">
        <v>187</v>
      </c>
      <c r="B211">
        <v>672385.86039610428</v>
      </c>
      <c r="C211">
        <v>-60461.590396104264</v>
      </c>
    </row>
    <row r="212" spans="1:3">
      <c r="A212">
        <v>188</v>
      </c>
      <c r="B212">
        <v>649992.61802755564</v>
      </c>
      <c r="C212">
        <v>-90570.598027555621</v>
      </c>
    </row>
    <row r="213" spans="1:3">
      <c r="A213">
        <v>189</v>
      </c>
      <c r="B213">
        <v>714897.82001000829</v>
      </c>
      <c r="C213">
        <v>-23450.390010008239</v>
      </c>
    </row>
    <row r="214" spans="1:3">
      <c r="A214">
        <v>190</v>
      </c>
      <c r="B214">
        <v>678273.67288572132</v>
      </c>
      <c r="C214">
        <v>-104207.06288572133</v>
      </c>
    </row>
    <row r="215" spans="1:3">
      <c r="A215">
        <v>191</v>
      </c>
      <c r="B215">
        <v>679251.41828591039</v>
      </c>
      <c r="C215">
        <v>-100301.57828591042</v>
      </c>
    </row>
    <row r="216" spans="1:3">
      <c r="A216">
        <v>192</v>
      </c>
      <c r="B216">
        <v>693435.33380835527</v>
      </c>
      <c r="C216">
        <v>42351.306191644748</v>
      </c>
    </row>
    <row r="217" spans="1:3">
      <c r="A217">
        <v>193</v>
      </c>
      <c r="B217">
        <v>613248.16615444794</v>
      </c>
      <c r="C217">
        <v>-14343.26615444792</v>
      </c>
    </row>
    <row r="218" spans="1:3">
      <c r="A218">
        <v>194</v>
      </c>
      <c r="B218">
        <v>727743.9787356992</v>
      </c>
      <c r="C218">
        <v>59971.531264300807</v>
      </c>
    </row>
    <row r="219" spans="1:3">
      <c r="A219">
        <v>195</v>
      </c>
      <c r="B219">
        <v>639698.17986285768</v>
      </c>
      <c r="C219">
        <v>-32613.259862857638</v>
      </c>
    </row>
    <row r="220" spans="1:3">
      <c r="A220">
        <v>196</v>
      </c>
      <c r="B220">
        <v>699001.15719367494</v>
      </c>
      <c r="C220">
        <v>-48205.667193674948</v>
      </c>
    </row>
    <row r="221" spans="1:3">
      <c r="A221">
        <v>197</v>
      </c>
      <c r="B221">
        <v>756426.22725733812</v>
      </c>
      <c r="C221">
        <v>68634.292742661899</v>
      </c>
    </row>
    <row r="222" spans="1:3">
      <c r="A222">
        <v>198</v>
      </c>
      <c r="B222">
        <v>678885.23057527503</v>
      </c>
      <c r="C222">
        <v>116579.23942472495</v>
      </c>
    </row>
    <row r="223" spans="1:3">
      <c r="A223">
        <v>199</v>
      </c>
      <c r="B223">
        <v>645402.7959005778</v>
      </c>
      <c r="C223">
        <v>26465.794099422172</v>
      </c>
    </row>
    <row r="224" spans="1:3">
      <c r="A224">
        <v>200</v>
      </c>
      <c r="B224">
        <v>683220.87993683538</v>
      </c>
      <c r="C224">
        <v>-7303.2499368353747</v>
      </c>
    </row>
    <row r="225" spans="1:3">
      <c r="A225">
        <v>201</v>
      </c>
      <c r="B225">
        <v>697673.37278442353</v>
      </c>
      <c r="C225">
        <v>112773.1572155765</v>
      </c>
    </row>
    <row r="226" spans="1:3">
      <c r="A226">
        <v>202</v>
      </c>
      <c r="B226">
        <v>696632.03802441934</v>
      </c>
      <c r="C226">
        <v>-5343.8480244193925</v>
      </c>
    </row>
    <row r="227" spans="1:3">
      <c r="A227">
        <v>203</v>
      </c>
      <c r="B227">
        <v>789011.00342160359</v>
      </c>
      <c r="C227">
        <v>157822.53657839645</v>
      </c>
    </row>
    <row r="228" spans="1:3">
      <c r="A228">
        <v>204</v>
      </c>
      <c r="B228">
        <v>668840.77923556138</v>
      </c>
      <c r="C228">
        <v>93122.450764438603</v>
      </c>
    </row>
    <row r="229" spans="1:3">
      <c r="A229">
        <v>205</v>
      </c>
      <c r="B229">
        <v>671881.14678417449</v>
      </c>
      <c r="C229">
        <v>140271.45321582549</v>
      </c>
    </row>
    <row r="230" spans="1:3">
      <c r="A230">
        <v>206</v>
      </c>
      <c r="B230">
        <v>653274.21065328573</v>
      </c>
      <c r="C230">
        <v>151701.28934671427</v>
      </c>
    </row>
    <row r="231" spans="1:3">
      <c r="A231">
        <v>207</v>
      </c>
      <c r="B231">
        <v>639889.6455990416</v>
      </c>
      <c r="C231">
        <v>112432.07440095837</v>
      </c>
    </row>
    <row r="232" spans="1:3">
      <c r="A232">
        <v>208</v>
      </c>
      <c r="B232">
        <v>664706.83474879351</v>
      </c>
      <c r="C232">
        <v>172201.40525120648</v>
      </c>
    </row>
    <row r="233" spans="1:3">
      <c r="A233">
        <v>209</v>
      </c>
      <c r="B233">
        <v>709417.29542067146</v>
      </c>
      <c r="C233">
        <v>-35128.195420671487</v>
      </c>
    </row>
    <row r="234" spans="1:3">
      <c r="A234">
        <v>210</v>
      </c>
      <c r="B234">
        <v>637203.23624881799</v>
      </c>
      <c r="C234">
        <v>-14310.816248817951</v>
      </c>
    </row>
    <row r="235" spans="1:3">
      <c r="A235">
        <v>211</v>
      </c>
      <c r="B235">
        <v>688087.0356903472</v>
      </c>
      <c r="C235">
        <v>-14738.475690347143</v>
      </c>
    </row>
    <row r="236" spans="1:3">
      <c r="A236">
        <v>212</v>
      </c>
      <c r="B236">
        <v>601221.63098101621</v>
      </c>
      <c r="C236">
        <v>5056.6690189838409</v>
      </c>
    </row>
    <row r="237" spans="1:3">
      <c r="A237">
        <v>213</v>
      </c>
      <c r="B237">
        <v>676970.49113617232</v>
      </c>
      <c r="C237">
        <v>35249.318863827735</v>
      </c>
    </row>
    <row r="238" spans="1:3">
      <c r="A238">
        <v>214</v>
      </c>
      <c r="B238">
        <v>623265.10109160841</v>
      </c>
      <c r="C238">
        <v>49405.438908391632</v>
      </c>
    </row>
    <row r="239" spans="1:3">
      <c r="A239">
        <v>215</v>
      </c>
      <c r="B239">
        <v>704866.52155175363</v>
      </c>
      <c r="C239">
        <v>27801.398448246415</v>
      </c>
    </row>
    <row r="240" spans="1:3">
      <c r="A240">
        <v>216</v>
      </c>
      <c r="B240">
        <v>718364.64049990429</v>
      </c>
      <c r="C240">
        <v>5166.7595000957372</v>
      </c>
    </row>
    <row r="241" spans="1:3">
      <c r="A241">
        <v>217</v>
      </c>
      <c r="B241">
        <v>707430.51266362402</v>
      </c>
      <c r="C241">
        <v>-65865.91266362404</v>
      </c>
    </row>
    <row r="242" spans="1:3">
      <c r="A242">
        <v>218</v>
      </c>
      <c r="B242">
        <v>684887.35617348505</v>
      </c>
      <c r="C242">
        <v>-148341.86617348506</v>
      </c>
    </row>
    <row r="243" spans="1:3">
      <c r="A243">
        <v>219</v>
      </c>
      <c r="B243">
        <v>655557.12817666098</v>
      </c>
      <c r="C243">
        <v>-127875.56817666092</v>
      </c>
    </row>
    <row r="244" spans="1:3">
      <c r="A244">
        <v>220</v>
      </c>
      <c r="B244">
        <v>644050.32675436034</v>
      </c>
      <c r="C244">
        <v>-73087.016754360287</v>
      </c>
    </row>
    <row r="245" spans="1:3">
      <c r="A245">
        <v>221</v>
      </c>
      <c r="B245">
        <v>800842.051072945</v>
      </c>
      <c r="C245">
        <v>70095.34892705502</v>
      </c>
    </row>
    <row r="246" spans="1:3">
      <c r="A246">
        <v>222</v>
      </c>
      <c r="B246">
        <v>635534.23613631888</v>
      </c>
      <c r="C246">
        <v>-38564.966136318864</v>
      </c>
    </row>
    <row r="247" spans="1:3">
      <c r="A247">
        <v>223</v>
      </c>
      <c r="B247">
        <v>664400.74811427889</v>
      </c>
      <c r="C247">
        <v>-6328.6081142788753</v>
      </c>
    </row>
    <row r="248" spans="1:3">
      <c r="A248">
        <v>224</v>
      </c>
      <c r="B248">
        <v>693966.76356951997</v>
      </c>
      <c r="C248">
        <v>29338.346430480015</v>
      </c>
    </row>
    <row r="249" spans="1:3">
      <c r="A249">
        <v>225</v>
      </c>
      <c r="B249">
        <v>695878.99965208909</v>
      </c>
      <c r="C249">
        <v>-55212.469652089057</v>
      </c>
    </row>
    <row r="250" spans="1:3">
      <c r="A250">
        <v>226</v>
      </c>
      <c r="B250">
        <v>665841.65551180416</v>
      </c>
      <c r="C250">
        <v>4787.8244881958235</v>
      </c>
    </row>
    <row r="251" spans="1:3">
      <c r="A251">
        <v>227</v>
      </c>
      <c r="B251">
        <v>662868.94014754402</v>
      </c>
      <c r="C251">
        <v>58210.409852455952</v>
      </c>
    </row>
    <row r="252" spans="1:3">
      <c r="A252">
        <v>228</v>
      </c>
      <c r="B252">
        <v>717176.49003500293</v>
      </c>
      <c r="C252">
        <v>93178.529964997084</v>
      </c>
    </row>
    <row r="253" spans="1:3">
      <c r="A253">
        <v>229</v>
      </c>
      <c r="B253">
        <v>688650.74233534187</v>
      </c>
      <c r="C253">
        <v>73268.507664658129</v>
      </c>
    </row>
    <row r="254" spans="1:3">
      <c r="A254">
        <v>230</v>
      </c>
      <c r="B254">
        <v>621322.8657692686</v>
      </c>
      <c r="C254">
        <v>115747.31423073146</v>
      </c>
    </row>
    <row r="255" spans="1:3">
      <c r="A255">
        <v>231</v>
      </c>
      <c r="B255">
        <v>710893.82435050991</v>
      </c>
      <c r="C255">
        <v>66099.105649490142</v>
      </c>
    </row>
    <row r="256" spans="1:3">
      <c r="A256">
        <v>232</v>
      </c>
      <c r="B256">
        <v>673715.86089146743</v>
      </c>
      <c r="C256">
        <v>2621.5491085326066</v>
      </c>
    </row>
    <row r="257" spans="1:3">
      <c r="A257">
        <v>233</v>
      </c>
      <c r="B257">
        <v>712739.57784972945</v>
      </c>
      <c r="C257">
        <v>115480.09215027059</v>
      </c>
    </row>
    <row r="258" spans="1:3">
      <c r="A258">
        <v>234</v>
      </c>
      <c r="B258">
        <v>677336.98663654539</v>
      </c>
      <c r="C258">
        <v>85822.933363454649</v>
      </c>
    </row>
    <row r="259" spans="1:3">
      <c r="A259">
        <v>235</v>
      </c>
      <c r="B259">
        <v>725343.69072566938</v>
      </c>
      <c r="C259">
        <v>76657.98927433067</v>
      </c>
    </row>
    <row r="260" spans="1:3">
      <c r="A260">
        <v>236</v>
      </c>
      <c r="B260">
        <v>666080.99281186296</v>
      </c>
      <c r="C260">
        <v>84390.347188137006</v>
      </c>
    </row>
    <row r="261" spans="1:3">
      <c r="A261">
        <v>237</v>
      </c>
      <c r="B261">
        <v>685223.99606929836</v>
      </c>
      <c r="C261">
        <v>-5993.1360692983726</v>
      </c>
    </row>
    <row r="262" spans="1:3">
      <c r="A262">
        <v>238</v>
      </c>
      <c r="B262">
        <v>611654.32829590258</v>
      </c>
      <c r="C262">
        <v>68234.411704097409</v>
      </c>
    </row>
    <row r="263" spans="1:3">
      <c r="A263">
        <v>239</v>
      </c>
      <c r="B263">
        <v>717116.16324640787</v>
      </c>
      <c r="C263">
        <v>-74364.74324640783</v>
      </c>
    </row>
    <row r="264" spans="1:3">
      <c r="A264">
        <v>240</v>
      </c>
      <c r="B264">
        <v>646179.61615997669</v>
      </c>
      <c r="C264">
        <v>1774.1638400233351</v>
      </c>
    </row>
    <row r="265" spans="1:3">
      <c r="A265">
        <v>241</v>
      </c>
      <c r="B265">
        <v>767487.78004503855</v>
      </c>
      <c r="C265">
        <v>-38047.330045038601</v>
      </c>
    </row>
    <row r="266" spans="1:3">
      <c r="A266">
        <v>242</v>
      </c>
      <c r="B266">
        <v>735315.25745548855</v>
      </c>
      <c r="C266">
        <v>29633.74254451145</v>
      </c>
    </row>
    <row r="267" spans="1:3">
      <c r="A267">
        <v>243</v>
      </c>
      <c r="B267">
        <v>697929.70007800509</v>
      </c>
      <c r="C267">
        <v>101117.23992199486</v>
      </c>
    </row>
    <row r="268" spans="1:3">
      <c r="A268">
        <v>244</v>
      </c>
      <c r="B268">
        <v>722205.34344387893</v>
      </c>
      <c r="C268">
        <v>-2125.8034438788891</v>
      </c>
    </row>
    <row r="269" spans="1:3">
      <c r="A269">
        <v>245</v>
      </c>
      <c r="B269">
        <v>641928.32170587021</v>
      </c>
      <c r="C269">
        <v>-29538.1817058702</v>
      </c>
    </row>
    <row r="270" spans="1:3">
      <c r="A270">
        <v>246</v>
      </c>
      <c r="B270">
        <v>701398.42886427499</v>
      </c>
      <c r="C270">
        <v>138709.69113572501</v>
      </c>
    </row>
    <row r="271" spans="1:3">
      <c r="A271">
        <v>247</v>
      </c>
      <c r="B271">
        <v>626293.32120523916</v>
      </c>
      <c r="C271">
        <v>71594.768794760806</v>
      </c>
    </row>
    <row r="272" spans="1:3">
      <c r="A272">
        <v>248</v>
      </c>
      <c r="B272">
        <v>658137.06279694592</v>
      </c>
      <c r="C272">
        <v>87978.527203054051</v>
      </c>
    </row>
    <row r="273" spans="1:3">
      <c r="A273">
        <v>249</v>
      </c>
      <c r="B273">
        <v>646253.25998455752</v>
      </c>
      <c r="C273">
        <v>129857.06001544243</v>
      </c>
    </row>
    <row r="274" spans="1:3">
      <c r="A274">
        <v>250</v>
      </c>
      <c r="B274">
        <v>597256.3142318927</v>
      </c>
      <c r="C274">
        <v>-68403.694231892703</v>
      </c>
    </row>
    <row r="275" spans="1:3">
      <c r="A275">
        <v>251</v>
      </c>
      <c r="B275">
        <v>673036.56894029723</v>
      </c>
      <c r="C275">
        <v>4604.0810597027885</v>
      </c>
    </row>
    <row r="276" spans="1:3">
      <c r="A276">
        <v>252</v>
      </c>
      <c r="B276">
        <v>687887.85469140415</v>
      </c>
      <c r="C276">
        <v>-51274.624691404169</v>
      </c>
    </row>
    <row r="277" spans="1:3">
      <c r="A277">
        <v>253</v>
      </c>
      <c r="B277">
        <v>688490.40440130036</v>
      </c>
      <c r="C277">
        <v>20494.785598699586</v>
      </c>
    </row>
    <row r="278" spans="1:3">
      <c r="A278">
        <v>254</v>
      </c>
      <c r="B278">
        <v>718187.25101439259</v>
      </c>
      <c r="C278">
        <v>49605.688985607354</v>
      </c>
    </row>
    <row r="279" spans="1:3">
      <c r="A279">
        <v>255</v>
      </c>
      <c r="B279">
        <v>683607.79215647792</v>
      </c>
      <c r="C279">
        <v>61972.717843522085</v>
      </c>
    </row>
    <row r="280" spans="1:3">
      <c r="A280">
        <v>256</v>
      </c>
      <c r="B280">
        <v>706425.06618703925</v>
      </c>
      <c r="C280">
        <v>55903.243812960805</v>
      </c>
    </row>
    <row r="281" spans="1:3">
      <c r="A281">
        <v>257</v>
      </c>
      <c r="B281">
        <v>667501.21673901274</v>
      </c>
      <c r="C281">
        <v>-6867.2267390127527</v>
      </c>
    </row>
    <row r="282" spans="1:3">
      <c r="A282">
        <v>258</v>
      </c>
      <c r="B282">
        <v>616535.44263066805</v>
      </c>
      <c r="C282">
        <v>122839.117369332</v>
      </c>
    </row>
    <row r="283" spans="1:3">
      <c r="A283">
        <v>259</v>
      </c>
      <c r="B283">
        <v>694673.67451982247</v>
      </c>
      <c r="C283">
        <v>105082.7854801775</v>
      </c>
    </row>
    <row r="284" spans="1:3">
      <c r="A284">
        <v>260</v>
      </c>
      <c r="B284">
        <v>627677.34905923193</v>
      </c>
      <c r="C284">
        <v>-34334.349059231929</v>
      </c>
    </row>
    <row r="285" spans="1:3">
      <c r="A285">
        <v>261</v>
      </c>
      <c r="B285">
        <v>671152.1160113872</v>
      </c>
      <c r="C285">
        <v>-26112.146011387231</v>
      </c>
    </row>
    <row r="286" spans="1:3">
      <c r="A286">
        <v>262</v>
      </c>
      <c r="B286">
        <v>603500.7524309596</v>
      </c>
      <c r="C286">
        <v>-41903.422430959647</v>
      </c>
    </row>
    <row r="287" spans="1:3">
      <c r="A287">
        <v>263</v>
      </c>
      <c r="B287">
        <v>665235.45336368692</v>
      </c>
      <c r="C287">
        <v>-29397.713363686926</v>
      </c>
    </row>
    <row r="288" spans="1:3">
      <c r="A288">
        <v>264</v>
      </c>
      <c r="B288">
        <v>646047.57436249056</v>
      </c>
      <c r="C288">
        <v>40690.295637509436</v>
      </c>
    </row>
    <row r="289" spans="1:3">
      <c r="A289">
        <v>265</v>
      </c>
      <c r="B289">
        <v>694240.32708841434</v>
      </c>
      <c r="C289">
        <v>-21163.987088414375</v>
      </c>
    </row>
    <row r="290" spans="1:3">
      <c r="A290">
        <v>266</v>
      </c>
      <c r="B290">
        <v>643040.98160776426</v>
      </c>
      <c r="C290">
        <v>95507.438392235781</v>
      </c>
    </row>
    <row r="291" spans="1:3">
      <c r="A291">
        <v>267</v>
      </c>
      <c r="B291">
        <v>667206.74403726845</v>
      </c>
      <c r="C291">
        <v>89413.025962731568</v>
      </c>
    </row>
    <row r="292" spans="1:3">
      <c r="A292">
        <v>268</v>
      </c>
      <c r="B292">
        <v>711681.64296320372</v>
      </c>
      <c r="C292">
        <v>49440.777036796324</v>
      </c>
    </row>
    <row r="293" spans="1:3">
      <c r="A293">
        <v>269</v>
      </c>
      <c r="B293">
        <v>661730.09759862709</v>
      </c>
      <c r="C293">
        <v>-136830.52759862714</v>
      </c>
    </row>
    <row r="294" spans="1:3">
      <c r="A294">
        <v>270</v>
      </c>
      <c r="B294">
        <v>638811.80697614269</v>
      </c>
      <c r="C294">
        <v>-83254.03697614267</v>
      </c>
    </row>
    <row r="295" spans="1:3">
      <c r="A295">
        <v>271</v>
      </c>
      <c r="B295">
        <v>703104.8356895661</v>
      </c>
      <c r="C295">
        <v>10978.844310433953</v>
      </c>
    </row>
    <row r="296" spans="1:3">
      <c r="A296">
        <v>272</v>
      </c>
      <c r="B296">
        <v>605627.86678909604</v>
      </c>
      <c r="C296">
        <v>-108188.04678909603</v>
      </c>
    </row>
    <row r="297" spans="1:3">
      <c r="A297">
        <v>273</v>
      </c>
      <c r="B297">
        <v>690955.08202446322</v>
      </c>
      <c r="C297">
        <v>-54179.422024463187</v>
      </c>
    </row>
    <row r="298" spans="1:3">
      <c r="A298">
        <v>274</v>
      </c>
      <c r="B298">
        <v>720412.77601133916</v>
      </c>
      <c r="C298">
        <v>-87403.246011339128</v>
      </c>
    </row>
    <row r="299" spans="1:3">
      <c r="A299">
        <v>275</v>
      </c>
      <c r="B299">
        <v>681083.05449582601</v>
      </c>
      <c r="C299">
        <v>-71134.054495826014</v>
      </c>
    </row>
    <row r="300" spans="1:3">
      <c r="A300">
        <v>276</v>
      </c>
      <c r="B300">
        <v>651446.43207474961</v>
      </c>
      <c r="C300">
        <v>-103342.73207474966</v>
      </c>
    </row>
    <row r="301" spans="1:3">
      <c r="A301">
        <v>277</v>
      </c>
      <c r="B301">
        <v>711124.2357481746</v>
      </c>
      <c r="C301">
        <v>18300.184251825442</v>
      </c>
    </row>
    <row r="302" spans="1:3">
      <c r="A302">
        <v>278</v>
      </c>
      <c r="B302">
        <v>708860.64742032869</v>
      </c>
      <c r="C302">
        <v>-12599.157420328702</v>
      </c>
    </row>
    <row r="303" spans="1:3">
      <c r="A303">
        <v>279</v>
      </c>
      <c r="B303">
        <v>683884.61824659235</v>
      </c>
      <c r="C303">
        <v>129432.09175340761</v>
      </c>
    </row>
    <row r="304" spans="1:3">
      <c r="A304">
        <v>280</v>
      </c>
      <c r="B304">
        <v>678433.88770386775</v>
      </c>
      <c r="C304">
        <v>23635.032296132296</v>
      </c>
    </row>
    <row r="305" spans="1:3">
      <c r="A305">
        <v>281</v>
      </c>
      <c r="B305">
        <v>674156.45164137008</v>
      </c>
      <c r="C305">
        <v>-127932.75164137012</v>
      </c>
    </row>
    <row r="306" spans="1:3">
      <c r="A306">
        <v>282</v>
      </c>
      <c r="B306">
        <v>649751.92645265069</v>
      </c>
      <c r="C306">
        <v>-116630.66645265068</v>
      </c>
    </row>
    <row r="307" spans="1:3">
      <c r="A307">
        <v>283</v>
      </c>
      <c r="B307">
        <v>690221.41388629412</v>
      </c>
      <c r="C307">
        <v>-191251.09388629411</v>
      </c>
    </row>
    <row r="308" spans="1:3">
      <c r="A308">
        <v>284</v>
      </c>
      <c r="B308">
        <v>623682.95643955073</v>
      </c>
      <c r="C308">
        <v>-135944.69643955072</v>
      </c>
    </row>
    <row r="309" spans="1:3">
      <c r="A309">
        <v>285</v>
      </c>
      <c r="B309">
        <v>681550.05360522587</v>
      </c>
      <c r="C309">
        <v>-13090.683605225873</v>
      </c>
    </row>
    <row r="310" spans="1:3">
      <c r="A310">
        <v>286</v>
      </c>
      <c r="B310">
        <v>681299.82054845127</v>
      </c>
      <c r="C310">
        <v>81862.629451548681</v>
      </c>
    </row>
    <row r="311" spans="1:3">
      <c r="A311">
        <v>287</v>
      </c>
      <c r="B311">
        <v>662210.88568827719</v>
      </c>
      <c r="C311">
        <v>-63193.555688277236</v>
      </c>
    </row>
    <row r="312" spans="1:3">
      <c r="A312">
        <v>288</v>
      </c>
      <c r="B312">
        <v>617454.72850000428</v>
      </c>
      <c r="C312">
        <v>-215872.14850000426</v>
      </c>
    </row>
    <row r="313" spans="1:3">
      <c r="A313">
        <v>289</v>
      </c>
      <c r="B313">
        <v>650869.79826077039</v>
      </c>
      <c r="C313">
        <v>52943.191739229602</v>
      </c>
    </row>
    <row r="314" spans="1:3">
      <c r="A314">
        <v>290</v>
      </c>
      <c r="B314">
        <v>698760.4656187701</v>
      </c>
      <c r="C314">
        <v>25586.264381229877</v>
      </c>
    </row>
    <row r="315" spans="1:3">
      <c r="A315">
        <v>291</v>
      </c>
      <c r="B315">
        <v>675895.32002433378</v>
      </c>
      <c r="C315">
        <v>54994.689975666231</v>
      </c>
    </row>
    <row r="316" spans="1:3">
      <c r="A316">
        <v>292</v>
      </c>
      <c r="B316">
        <v>633119.72824040602</v>
      </c>
      <c r="C316">
        <v>147461.22175959393</v>
      </c>
    </row>
    <row r="317" spans="1:3">
      <c r="A317">
        <v>293</v>
      </c>
      <c r="B317">
        <v>680213.13810042164</v>
      </c>
      <c r="C317">
        <v>47744.341899578343</v>
      </c>
    </row>
    <row r="318" spans="1:3">
      <c r="A318">
        <v>294</v>
      </c>
      <c r="B318">
        <v>662152.48771537188</v>
      </c>
      <c r="C318">
        <v>-123776.48771537188</v>
      </c>
    </row>
    <row r="319" spans="1:3">
      <c r="A319">
        <v>295</v>
      </c>
      <c r="B319">
        <v>613400.68622915109</v>
      </c>
      <c r="C319">
        <v>51941.803770848899</v>
      </c>
    </row>
    <row r="320" spans="1:3">
      <c r="A320">
        <v>296</v>
      </c>
      <c r="B320">
        <v>691983.07922916568</v>
      </c>
      <c r="C320">
        <v>-40818.899229165632</v>
      </c>
    </row>
    <row r="321" spans="1:3">
      <c r="A321">
        <v>297</v>
      </c>
      <c r="B321">
        <v>666911.65575604886</v>
      </c>
      <c r="C321">
        <v>-38373.355756048812</v>
      </c>
    </row>
    <row r="322" spans="1:3">
      <c r="A322">
        <v>298</v>
      </c>
      <c r="B322">
        <v>616099.22249504121</v>
      </c>
      <c r="C322">
        <v>-79574.382495041238</v>
      </c>
    </row>
    <row r="323" spans="1:3">
      <c r="A323">
        <v>299</v>
      </c>
      <c r="B323">
        <v>678930.51670535305</v>
      </c>
      <c r="C323">
        <v>-57253.216705352999</v>
      </c>
    </row>
    <row r="324" spans="1:3">
      <c r="A324">
        <v>300</v>
      </c>
      <c r="B324">
        <v>729499.50880313199</v>
      </c>
      <c r="C324">
        <v>-27447.038803132018</v>
      </c>
    </row>
    <row r="325" spans="1:3">
      <c r="A325">
        <v>301</v>
      </c>
      <c r="B325">
        <v>695723.97622085246</v>
      </c>
      <c r="C325">
        <v>16651.793779147556</v>
      </c>
    </row>
    <row r="326" spans="1:3">
      <c r="A326">
        <v>302</v>
      </c>
      <c r="B326">
        <v>703827.30028128193</v>
      </c>
      <c r="C326">
        <v>140883.36971871811</v>
      </c>
    </row>
    <row r="327" spans="1:3">
      <c r="A327">
        <v>303</v>
      </c>
      <c r="B327">
        <v>724670.90339762322</v>
      </c>
      <c r="C327">
        <v>-104406.70339762326</v>
      </c>
    </row>
    <row r="328" spans="1:3">
      <c r="A328">
        <v>304</v>
      </c>
      <c r="B328">
        <v>616890.61146869266</v>
      </c>
      <c r="C328">
        <v>-80045.191468692617</v>
      </c>
    </row>
    <row r="329" spans="1:3">
      <c r="A329">
        <v>305</v>
      </c>
      <c r="B329">
        <v>735522.05112061149</v>
      </c>
      <c r="C329">
        <v>-8745.8311206115177</v>
      </c>
    </row>
    <row r="330" spans="1:3" ht="15.75" thickBot="1">
      <c r="A330" s="3">
        <v>306</v>
      </c>
      <c r="B330" s="3">
        <v>650675.76761010534</v>
      </c>
      <c r="C330" s="3">
        <v>-91014.927610105369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18E2-697B-465D-AA87-4F271E22624C}">
  <dimension ref="A1:I330"/>
  <sheetViews>
    <sheetView workbookViewId="0"/>
  </sheetViews>
  <sheetFormatPr defaultRowHeight="15"/>
  <cols>
    <col min="1" max="1" width="18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0.85722993840841222</v>
      </c>
    </row>
    <row r="5" spans="1:9">
      <c r="A5" t="s">
        <v>106</v>
      </c>
      <c r="B5">
        <v>0.73484316730369015</v>
      </c>
    </row>
    <row r="6" spans="1:9">
      <c r="A6" t="s">
        <v>107</v>
      </c>
      <c r="B6">
        <v>0.73397094088034698</v>
      </c>
    </row>
    <row r="7" spans="1:9">
      <c r="A7" t="s">
        <v>108</v>
      </c>
      <c r="B7">
        <v>53088.595341199594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1</v>
      </c>
      <c r="C12">
        <v>2374476580405.6895</v>
      </c>
      <c r="D12">
        <v>2374476580405.6895</v>
      </c>
      <c r="E12">
        <v>842.491293129067</v>
      </c>
      <c r="F12">
        <v>1.255935145737178E-89</v>
      </c>
    </row>
    <row r="13" spans="1:9">
      <c r="A13" t="s">
        <v>112</v>
      </c>
      <c r="B13">
        <v>304</v>
      </c>
      <c r="C13">
        <v>856793282411.69824</v>
      </c>
      <c r="D13">
        <v>2818398955.3016391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447699.03273727826</v>
      </c>
      <c r="C17">
        <v>8666.7757303287708</v>
      </c>
      <c r="D17">
        <v>51.656930635759622</v>
      </c>
      <c r="E17" s="9">
        <v>1.4690618765853201E-152</v>
      </c>
      <c r="F17">
        <v>430644.56756912573</v>
      </c>
      <c r="G17">
        <v>464753.49790543079</v>
      </c>
      <c r="H17">
        <v>430644.56756912573</v>
      </c>
      <c r="I17">
        <v>464753.49790543079</v>
      </c>
    </row>
    <row r="18" spans="1:9" ht="15.75" thickBot="1">
      <c r="A18" s="3" t="s">
        <v>5</v>
      </c>
      <c r="B18" s="3">
        <v>35.641530919901079</v>
      </c>
      <c r="C18" s="3">
        <v>1.2279300836673843</v>
      </c>
      <c r="D18" s="3">
        <v>29.025700562244293</v>
      </c>
      <c r="E18" s="3">
        <v>1.2559351457369634E-89</v>
      </c>
      <c r="F18" s="3">
        <v>33.225212384329886</v>
      </c>
      <c r="G18" s="3">
        <v>38.057849455472272</v>
      </c>
      <c r="H18" s="3">
        <v>33.225212384329886</v>
      </c>
      <c r="I18" s="3">
        <v>38.057849455472272</v>
      </c>
    </row>
    <row r="22" spans="1:9">
      <c r="A22" t="s">
        <v>127</v>
      </c>
    </row>
    <row r="23" spans="1:9" ht="15.75" thickBot="1"/>
    <row r="24" spans="1:9">
      <c r="A24" s="4" t="s">
        <v>128</v>
      </c>
      <c r="B24" s="4" t="s">
        <v>129</v>
      </c>
      <c r="C24" s="4" t="s">
        <v>130</v>
      </c>
    </row>
    <row r="25" spans="1:9">
      <c r="A25">
        <v>1</v>
      </c>
      <c r="B25">
        <v>743595.02243429702</v>
      </c>
      <c r="C25">
        <v>-84762.402434297022</v>
      </c>
    </row>
    <row r="26" spans="1:9">
      <c r="A26">
        <v>2</v>
      </c>
      <c r="B26">
        <v>750188.70565447875</v>
      </c>
      <c r="C26">
        <v>-115752.70565447875</v>
      </c>
    </row>
    <row r="27" spans="1:9">
      <c r="A27">
        <v>3</v>
      </c>
      <c r="B27">
        <v>772500.30401033675</v>
      </c>
      <c r="C27">
        <v>-93778.244010336697</v>
      </c>
    </row>
    <row r="28" spans="1:9">
      <c r="A28">
        <v>4</v>
      </c>
      <c r="B28">
        <v>783834.31084286538</v>
      </c>
      <c r="C28">
        <v>-124914.01084286533</v>
      </c>
    </row>
    <row r="29" spans="1:9">
      <c r="A29">
        <v>5</v>
      </c>
      <c r="B29">
        <v>787897.44536773406</v>
      </c>
      <c r="C29">
        <v>-46556.00536773412</v>
      </c>
    </row>
    <row r="30" spans="1:9">
      <c r="A30">
        <v>6</v>
      </c>
      <c r="B30">
        <v>796700.90350494965</v>
      </c>
      <c r="C30">
        <v>-34865.563504949678</v>
      </c>
    </row>
    <row r="31" spans="1:9">
      <c r="A31">
        <v>7</v>
      </c>
      <c r="B31">
        <v>826069.52498294809</v>
      </c>
      <c r="C31">
        <v>-19453.984982948052</v>
      </c>
    </row>
    <row r="32" spans="1:9">
      <c r="A32">
        <v>8</v>
      </c>
      <c r="B32">
        <v>753040.02812807076</v>
      </c>
      <c r="C32">
        <v>97124.231871929253</v>
      </c>
    </row>
    <row r="33" spans="1:3">
      <c r="A33">
        <v>9</v>
      </c>
      <c r="B33">
        <v>839007.40070687223</v>
      </c>
      <c r="C33">
        <v>91574.299293127726</v>
      </c>
    </row>
    <row r="34" spans="1:3">
      <c r="A34">
        <v>10</v>
      </c>
      <c r="B34">
        <v>784832.27370862255</v>
      </c>
      <c r="C34">
        <v>-5821.3337086226093</v>
      </c>
    </row>
    <row r="35" spans="1:3">
      <c r="A35">
        <v>11</v>
      </c>
      <c r="B35">
        <v>774603.15433461103</v>
      </c>
      <c r="C35">
        <v>-51542.394334611017</v>
      </c>
    </row>
    <row r="36" spans="1:3">
      <c r="A36">
        <v>12</v>
      </c>
      <c r="B36">
        <v>847953.42496776744</v>
      </c>
      <c r="C36">
        <v>62838.515032232506</v>
      </c>
    </row>
    <row r="37" spans="1:3">
      <c r="A37">
        <v>13</v>
      </c>
      <c r="B37">
        <v>903019.59023901448</v>
      </c>
      <c r="C37">
        <v>19149.0097609855</v>
      </c>
    </row>
    <row r="38" spans="1:3">
      <c r="A38">
        <v>14</v>
      </c>
      <c r="B38">
        <v>806038.98460596369</v>
      </c>
      <c r="C38">
        <v>-79432.704605963663</v>
      </c>
    </row>
    <row r="39" spans="1:3">
      <c r="A39">
        <v>15</v>
      </c>
      <c r="B39">
        <v>764730.45026979828</v>
      </c>
      <c r="C39">
        <v>-18229.360269798315</v>
      </c>
    </row>
    <row r="40" spans="1:3">
      <c r="A40">
        <v>16</v>
      </c>
      <c r="B40">
        <v>837617.3810009961</v>
      </c>
      <c r="C40">
        <v>-3600.361000996083</v>
      </c>
    </row>
    <row r="41" spans="1:3">
      <c r="A41">
        <v>17</v>
      </c>
      <c r="B41">
        <v>699221.31643902021</v>
      </c>
      <c r="C41">
        <v>-33068.796439020196</v>
      </c>
    </row>
    <row r="42" spans="1:3">
      <c r="A42">
        <v>18</v>
      </c>
      <c r="B42">
        <v>599638.87904881663</v>
      </c>
      <c r="C42">
        <v>-26483.689048816683</v>
      </c>
    </row>
    <row r="43" spans="1:3">
      <c r="A43">
        <v>19</v>
      </c>
      <c r="B43">
        <v>645081.83097169048</v>
      </c>
      <c r="C43">
        <v>21491.369028309477</v>
      </c>
    </row>
    <row r="44" spans="1:3">
      <c r="A44">
        <v>20</v>
      </c>
      <c r="B44">
        <v>621095.08066259697</v>
      </c>
      <c r="C44">
        <v>-29475.130662597017</v>
      </c>
    </row>
    <row r="45" spans="1:3">
      <c r="A45">
        <v>21</v>
      </c>
      <c r="B45">
        <v>548279.43299323914</v>
      </c>
      <c r="C45">
        <v>-132557.61299323913</v>
      </c>
    </row>
    <row r="46" spans="1:3">
      <c r="A46">
        <v>22</v>
      </c>
      <c r="B46">
        <v>523294.71981838846</v>
      </c>
      <c r="C46">
        <v>-31389.589818388456</v>
      </c>
    </row>
    <row r="47" spans="1:3">
      <c r="A47">
        <v>23</v>
      </c>
      <c r="B47">
        <v>567597.14275182551</v>
      </c>
      <c r="C47">
        <v>-11667.742751825484</v>
      </c>
    </row>
    <row r="48" spans="1:3">
      <c r="A48">
        <v>24</v>
      </c>
      <c r="B48">
        <v>540830.35303097975</v>
      </c>
      <c r="C48">
        <v>24980.636969020241</v>
      </c>
    </row>
    <row r="49" spans="1:3">
      <c r="A49">
        <v>25</v>
      </c>
      <c r="B49">
        <v>811884.19567682757</v>
      </c>
      <c r="C49">
        <v>-113.05567682755645</v>
      </c>
    </row>
    <row r="50" spans="1:3">
      <c r="A50">
        <v>26</v>
      </c>
      <c r="B50">
        <v>765870.9792592352</v>
      </c>
      <c r="C50">
        <v>34580.960740764742</v>
      </c>
    </row>
    <row r="51" spans="1:3">
      <c r="A51">
        <v>27</v>
      </c>
      <c r="B51">
        <v>779699.89325615682</v>
      </c>
      <c r="C51">
        <v>3972.926743843127</v>
      </c>
    </row>
    <row r="52" spans="1:3">
      <c r="A52">
        <v>28</v>
      </c>
      <c r="B52">
        <v>705137.81057172373</v>
      </c>
      <c r="C52">
        <v>-3495.840571723762</v>
      </c>
    </row>
    <row r="53" spans="1:3">
      <c r="A53">
        <v>29</v>
      </c>
      <c r="B53">
        <v>589837.45804584376</v>
      </c>
      <c r="C53">
        <v>-77993.048045843781</v>
      </c>
    </row>
    <row r="54" spans="1:3">
      <c r="A54">
        <v>30</v>
      </c>
      <c r="B54">
        <v>532882.29163584183</v>
      </c>
      <c r="C54">
        <v>4501.4983641582076</v>
      </c>
    </row>
    <row r="55" spans="1:3">
      <c r="A55">
        <v>31</v>
      </c>
      <c r="B55">
        <v>535769.25564035377</v>
      </c>
      <c r="C55">
        <v>-35596.235640353756</v>
      </c>
    </row>
    <row r="56" spans="1:3">
      <c r="A56">
        <v>32</v>
      </c>
      <c r="B56">
        <v>482306.95926050219</v>
      </c>
      <c r="C56">
        <v>-54389.579260502185</v>
      </c>
    </row>
    <row r="57" spans="1:3">
      <c r="A57">
        <v>33</v>
      </c>
      <c r="B57">
        <v>783763.02778102551</v>
      </c>
      <c r="C57">
        <v>-141897.99778102548</v>
      </c>
    </row>
    <row r="58" spans="1:3">
      <c r="A58">
        <v>34</v>
      </c>
      <c r="B58">
        <v>784475.85839942354</v>
      </c>
      <c r="C58">
        <v>14476.311600576504</v>
      </c>
    </row>
    <row r="59" spans="1:3">
      <c r="A59">
        <v>35</v>
      </c>
      <c r="B59">
        <v>820259.95544300426</v>
      </c>
      <c r="C59">
        <v>-19280.175443004235</v>
      </c>
    </row>
    <row r="60" spans="1:3">
      <c r="A60">
        <v>36</v>
      </c>
      <c r="B60">
        <v>762698.883007364</v>
      </c>
      <c r="C60">
        <v>57895.046992636053</v>
      </c>
    </row>
    <row r="61" spans="1:3">
      <c r="A61">
        <v>37</v>
      </c>
      <c r="B61">
        <v>738391.35891999141</v>
      </c>
      <c r="C61">
        <v>-20060.828919991385</v>
      </c>
    </row>
    <row r="62" spans="1:3">
      <c r="A62">
        <v>38</v>
      </c>
      <c r="B62">
        <v>717220.28955357021</v>
      </c>
      <c r="C62">
        <v>19413.110446429811</v>
      </c>
    </row>
    <row r="63" spans="1:3">
      <c r="A63">
        <v>39</v>
      </c>
      <c r="B63">
        <v>789786.44650648884</v>
      </c>
      <c r="C63">
        <v>38837.403493511141</v>
      </c>
    </row>
    <row r="64" spans="1:3">
      <c r="A64">
        <v>40</v>
      </c>
      <c r="B64">
        <v>578147.03590411623</v>
      </c>
      <c r="C64">
        <v>14048.814095883747</v>
      </c>
    </row>
    <row r="65" spans="1:3">
      <c r="A65">
        <v>41</v>
      </c>
      <c r="B65">
        <v>562714.25301579898</v>
      </c>
      <c r="C65">
        <v>-30069.793015799019</v>
      </c>
    </row>
    <row r="66" spans="1:3">
      <c r="A66">
        <v>42</v>
      </c>
      <c r="B66">
        <v>567454.57662814588</v>
      </c>
      <c r="C66">
        <v>89974.603371854173</v>
      </c>
    </row>
    <row r="67" spans="1:3">
      <c r="A67">
        <v>43</v>
      </c>
      <c r="B67">
        <v>577505.48834755796</v>
      </c>
      <c r="C67">
        <v>27672.511652442045</v>
      </c>
    </row>
    <row r="68" spans="1:3">
      <c r="A68">
        <v>44</v>
      </c>
      <c r="B68">
        <v>631074.70932016929</v>
      </c>
      <c r="C68">
        <v>-35607.109320169315</v>
      </c>
    </row>
    <row r="69" spans="1:3">
      <c r="A69">
        <v>45</v>
      </c>
      <c r="B69">
        <v>606660.26064003701</v>
      </c>
      <c r="C69">
        <v>-7056.8606400369899</v>
      </c>
    </row>
    <row r="70" spans="1:3">
      <c r="A70">
        <v>46</v>
      </c>
      <c r="B70">
        <v>583279.41635658196</v>
      </c>
      <c r="C70">
        <v>31520.673643418006</v>
      </c>
    </row>
    <row r="71" spans="1:3">
      <c r="A71">
        <v>47</v>
      </c>
      <c r="B71">
        <v>592902.62970495527</v>
      </c>
      <c r="C71">
        <v>-7536.8997049552854</v>
      </c>
    </row>
    <row r="72" spans="1:3">
      <c r="A72">
        <v>48</v>
      </c>
      <c r="B72">
        <v>629613.40655245341</v>
      </c>
      <c r="C72">
        <v>-6801.6665524534183</v>
      </c>
    </row>
    <row r="73" spans="1:3">
      <c r="A73">
        <v>49</v>
      </c>
      <c r="B73">
        <v>645830.30312100833</v>
      </c>
      <c r="C73">
        <v>-42532.733121008379</v>
      </c>
    </row>
    <row r="74" spans="1:3">
      <c r="A74">
        <v>50</v>
      </c>
      <c r="B74">
        <v>631252.91697476886</v>
      </c>
      <c r="C74">
        <v>-5580.0569747688714</v>
      </c>
    </row>
    <row r="75" spans="1:3">
      <c r="A75">
        <v>51</v>
      </c>
      <c r="B75">
        <v>703925.99852044717</v>
      </c>
      <c r="C75">
        <v>69889.14147955284</v>
      </c>
    </row>
    <row r="76" spans="1:3">
      <c r="A76">
        <v>52</v>
      </c>
      <c r="B76">
        <v>564567.61262363393</v>
      </c>
      <c r="C76">
        <v>-101033.36262363393</v>
      </c>
    </row>
    <row r="77" spans="1:3">
      <c r="A77">
        <v>53</v>
      </c>
      <c r="B77">
        <v>657520.72526273597</v>
      </c>
      <c r="C77">
        <v>89157.02473726403</v>
      </c>
    </row>
    <row r="78" spans="1:3">
      <c r="A78">
        <v>54</v>
      </c>
      <c r="B78">
        <v>644297.71729145257</v>
      </c>
      <c r="C78">
        <v>76554.782708547427</v>
      </c>
    </row>
    <row r="79" spans="1:3">
      <c r="A79">
        <v>55</v>
      </c>
      <c r="B79">
        <v>549740.73576095502</v>
      </c>
      <c r="C79">
        <v>-62275.825760955049</v>
      </c>
    </row>
    <row r="80" spans="1:3">
      <c r="A80">
        <v>56</v>
      </c>
      <c r="B80">
        <v>532454.59326480306</v>
      </c>
      <c r="C80">
        <v>-14405.333264803048</v>
      </c>
    </row>
    <row r="81" spans="1:3">
      <c r="A81">
        <v>57</v>
      </c>
      <c r="B81">
        <v>537337.48300082947</v>
      </c>
      <c r="C81">
        <v>-37039.003000829485</v>
      </c>
    </row>
    <row r="82" spans="1:3">
      <c r="A82">
        <v>58</v>
      </c>
      <c r="B82">
        <v>591049.27009712043</v>
      </c>
      <c r="C82">
        <v>26241.879902879591</v>
      </c>
    </row>
    <row r="83" spans="1:3">
      <c r="A83">
        <v>59</v>
      </c>
      <c r="B83">
        <v>603702.01357368531</v>
      </c>
      <c r="C83">
        <v>-49945.58357368526</v>
      </c>
    </row>
    <row r="84" spans="1:3">
      <c r="A84">
        <v>60</v>
      </c>
      <c r="B84">
        <v>636812.99579827336</v>
      </c>
      <c r="C84">
        <v>112746.7142017266</v>
      </c>
    </row>
    <row r="85" spans="1:3">
      <c r="A85">
        <v>61</v>
      </c>
      <c r="B85">
        <v>587698.96619064966</v>
      </c>
      <c r="C85">
        <v>28267.513809350319</v>
      </c>
    </row>
    <row r="86" spans="1:3">
      <c r="A86">
        <v>62</v>
      </c>
      <c r="B86">
        <v>584740.71912429784</v>
      </c>
      <c r="C86">
        <v>-12729.519124297891</v>
      </c>
    </row>
    <row r="87" spans="1:3">
      <c r="A87">
        <v>63</v>
      </c>
      <c r="B87">
        <v>683645.96742702345</v>
      </c>
      <c r="C87">
        <v>78214.22257297649</v>
      </c>
    </row>
    <row r="88" spans="1:3">
      <c r="A88">
        <v>64</v>
      </c>
      <c r="B88">
        <v>774710.07892737072</v>
      </c>
      <c r="C88">
        <v>9792.6010726293316</v>
      </c>
    </row>
    <row r="89" spans="1:3">
      <c r="A89">
        <v>65</v>
      </c>
      <c r="B89">
        <v>730692.78824129282</v>
      </c>
      <c r="C89">
        <v>-13551.238241292769</v>
      </c>
    </row>
    <row r="90" spans="1:3">
      <c r="A90">
        <v>66</v>
      </c>
      <c r="B90">
        <v>790855.69243408588</v>
      </c>
      <c r="C90">
        <v>-105476.61243408592</v>
      </c>
    </row>
    <row r="91" spans="1:3">
      <c r="A91">
        <v>67</v>
      </c>
      <c r="B91">
        <v>743381.17324877763</v>
      </c>
      <c r="C91">
        <v>-2884.5232487776084</v>
      </c>
    </row>
    <row r="92" spans="1:3">
      <c r="A92">
        <v>68</v>
      </c>
      <c r="B92">
        <v>575830.33639432269</v>
      </c>
      <c r="C92">
        <v>86096.803605677327</v>
      </c>
    </row>
    <row r="93" spans="1:3">
      <c r="A93">
        <v>69</v>
      </c>
      <c r="B93">
        <v>548707.13136427791</v>
      </c>
      <c r="C93">
        <v>-69656.631364277913</v>
      </c>
    </row>
    <row r="94" spans="1:3">
      <c r="A94">
        <v>70</v>
      </c>
      <c r="B94">
        <v>561502.44096452242</v>
      </c>
      <c r="C94">
        <v>43521.429035477573</v>
      </c>
    </row>
    <row r="95" spans="1:3">
      <c r="A95">
        <v>71</v>
      </c>
      <c r="B95">
        <v>658625.61272125284</v>
      </c>
      <c r="C95">
        <v>-42556.202721252805</v>
      </c>
    </row>
    <row r="96" spans="1:3">
      <c r="A96">
        <v>72</v>
      </c>
      <c r="B96">
        <v>690809.91514192359</v>
      </c>
      <c r="C96">
        <v>-59979.975141923642</v>
      </c>
    </row>
    <row r="97" spans="1:3">
      <c r="A97">
        <v>73</v>
      </c>
      <c r="B97">
        <v>690275.292178125</v>
      </c>
      <c r="C97">
        <v>97812.387821875047</v>
      </c>
    </row>
    <row r="98" spans="1:3">
      <c r="A98">
        <v>74</v>
      </c>
      <c r="B98">
        <v>741812.94588830206</v>
      </c>
      <c r="C98">
        <v>-60972.58588830207</v>
      </c>
    </row>
    <row r="99" spans="1:3">
      <c r="A99">
        <v>75</v>
      </c>
      <c r="B99">
        <v>685142.91172565927</v>
      </c>
      <c r="C99">
        <v>-41485.441725659301</v>
      </c>
    </row>
    <row r="100" spans="1:3">
      <c r="A100">
        <v>76</v>
      </c>
      <c r="B100">
        <v>660193.84008172853</v>
      </c>
      <c r="C100">
        <v>30918.759918271448</v>
      </c>
    </row>
    <row r="101" spans="1:3">
      <c r="A101">
        <v>77</v>
      </c>
      <c r="B101">
        <v>713941.26870893931</v>
      </c>
      <c r="C101">
        <v>62980.901291060727</v>
      </c>
    </row>
    <row r="102" spans="1:3">
      <c r="A102">
        <v>78</v>
      </c>
      <c r="B102">
        <v>660621.5384527673</v>
      </c>
      <c r="C102">
        <v>-24060.198452767334</v>
      </c>
    </row>
    <row r="103" spans="1:3">
      <c r="A103">
        <v>79</v>
      </c>
      <c r="B103">
        <v>640519.71501394315</v>
      </c>
      <c r="C103">
        <v>-19150.135013943189</v>
      </c>
    </row>
    <row r="104" spans="1:3">
      <c r="A104">
        <v>80</v>
      </c>
      <c r="B104">
        <v>606339.48686175793</v>
      </c>
      <c r="C104">
        <v>75868.523138242075</v>
      </c>
    </row>
    <row r="105" spans="1:3">
      <c r="A105">
        <v>81</v>
      </c>
      <c r="B105">
        <v>613218.30232929881</v>
      </c>
      <c r="C105">
        <v>114023.55767070118</v>
      </c>
    </row>
    <row r="106" spans="1:3">
      <c r="A106">
        <v>82</v>
      </c>
      <c r="B106">
        <v>574547.24128120625</v>
      </c>
      <c r="C106">
        <v>-5446.461281206226</v>
      </c>
    </row>
    <row r="107" spans="1:3">
      <c r="A107">
        <v>83</v>
      </c>
      <c r="B107">
        <v>557867.00481069251</v>
      </c>
      <c r="C107">
        <v>16569.285189307528</v>
      </c>
    </row>
    <row r="108" spans="1:3">
      <c r="A108">
        <v>84</v>
      </c>
      <c r="B108">
        <v>582709.15186186356</v>
      </c>
      <c r="C108">
        <v>31887.168138136389</v>
      </c>
    </row>
    <row r="109" spans="1:3">
      <c r="A109">
        <v>85</v>
      </c>
      <c r="B109">
        <v>492607.36169635365</v>
      </c>
      <c r="C109">
        <v>-41895.441696353664</v>
      </c>
    </row>
    <row r="110" spans="1:3">
      <c r="A110">
        <v>86</v>
      </c>
      <c r="B110">
        <v>698045.14591866347</v>
      </c>
      <c r="C110">
        <v>13168.314081336488</v>
      </c>
    </row>
    <row r="111" spans="1:3">
      <c r="A111">
        <v>87</v>
      </c>
      <c r="B111">
        <v>640163.29970474413</v>
      </c>
      <c r="C111">
        <v>-12991.399704744108</v>
      </c>
    </row>
    <row r="112" spans="1:3">
      <c r="A112">
        <v>88</v>
      </c>
      <c r="B112">
        <v>661120.51988564595</v>
      </c>
      <c r="C112">
        <v>78732.060114354012</v>
      </c>
    </row>
    <row r="113" spans="1:3">
      <c r="A113">
        <v>89</v>
      </c>
      <c r="B113">
        <v>579608.33867183211</v>
      </c>
      <c r="C113">
        <v>6698.8813281678595</v>
      </c>
    </row>
    <row r="114" spans="1:3">
      <c r="A114">
        <v>90</v>
      </c>
      <c r="B114">
        <v>608406.69565511227</v>
      </c>
      <c r="C114">
        <v>-22469.21565511229</v>
      </c>
    </row>
    <row r="115" spans="1:3">
      <c r="A115">
        <v>91</v>
      </c>
      <c r="B115">
        <v>678549.22850547754</v>
      </c>
      <c r="C115">
        <v>74924.321494522505</v>
      </c>
    </row>
    <row r="116" spans="1:3">
      <c r="A116">
        <v>92</v>
      </c>
      <c r="B116">
        <v>731762.03416888986</v>
      </c>
      <c r="C116">
        <v>106488.28583111009</v>
      </c>
    </row>
    <row r="117" spans="1:3">
      <c r="A117">
        <v>93</v>
      </c>
      <c r="B117">
        <v>663579.78551911912</v>
      </c>
      <c r="C117">
        <v>-55681.665519119124</v>
      </c>
    </row>
    <row r="118" spans="1:3">
      <c r="A118">
        <v>94</v>
      </c>
      <c r="B118">
        <v>675590.98143912572</v>
      </c>
      <c r="C118">
        <v>15522.638560874271</v>
      </c>
    </row>
    <row r="119" spans="1:3">
      <c r="A119">
        <v>95</v>
      </c>
      <c r="B119">
        <v>631252.91697476886</v>
      </c>
      <c r="C119">
        <v>104256.48302523117</v>
      </c>
    </row>
    <row r="120" spans="1:3">
      <c r="A120">
        <v>96</v>
      </c>
      <c r="B120">
        <v>635921.95752527588</v>
      </c>
      <c r="C120">
        <v>39255.722474724171</v>
      </c>
    </row>
    <row r="121" spans="1:3">
      <c r="A121">
        <v>97</v>
      </c>
      <c r="B121">
        <v>577505.48834755796</v>
      </c>
      <c r="C121">
        <v>57675.861652442021</v>
      </c>
    </row>
    <row r="122" spans="1:3">
      <c r="A122">
        <v>98</v>
      </c>
      <c r="B122">
        <v>603559.44745000568</v>
      </c>
      <c r="C122">
        <v>-16932.507450005738</v>
      </c>
    </row>
    <row r="123" spans="1:3">
      <c r="A123">
        <v>99</v>
      </c>
      <c r="B123">
        <v>691201.97198204242</v>
      </c>
      <c r="C123">
        <v>48900.668017957592</v>
      </c>
    </row>
    <row r="124" spans="1:3">
      <c r="A124">
        <v>100</v>
      </c>
      <c r="B124">
        <v>533737.68837791949</v>
      </c>
      <c r="C124">
        <v>91776.351622080547</v>
      </c>
    </row>
    <row r="125" spans="1:3">
      <c r="A125">
        <v>101</v>
      </c>
      <c r="B125">
        <v>710519.68174062879</v>
      </c>
      <c r="C125">
        <v>16707.518259371165</v>
      </c>
    </row>
    <row r="126" spans="1:3">
      <c r="A126">
        <v>102</v>
      </c>
      <c r="B126">
        <v>759170.37144629378</v>
      </c>
      <c r="C126">
        <v>24627.518553706235</v>
      </c>
    </row>
    <row r="127" spans="1:3">
      <c r="A127">
        <v>103</v>
      </c>
      <c r="B127">
        <v>696904.61692922655</v>
      </c>
      <c r="C127">
        <v>98249.223070773412</v>
      </c>
    </row>
    <row r="128" spans="1:3">
      <c r="A128">
        <v>104</v>
      </c>
      <c r="B128">
        <v>701003.39298501518</v>
      </c>
      <c r="C128">
        <v>-35408.452985015232</v>
      </c>
    </row>
    <row r="129" spans="1:3">
      <c r="A129">
        <v>105</v>
      </c>
      <c r="B129">
        <v>696298.71090358833</v>
      </c>
      <c r="C129">
        <v>13179.679096411681</v>
      </c>
    </row>
    <row r="130" spans="1:3">
      <c r="A130">
        <v>106</v>
      </c>
      <c r="B130">
        <v>643477.96208029485</v>
      </c>
      <c r="C130">
        <v>20684.527919705142</v>
      </c>
    </row>
    <row r="131" spans="1:3">
      <c r="A131">
        <v>107</v>
      </c>
      <c r="B131">
        <v>650356.77754783584</v>
      </c>
      <c r="C131">
        <v>-16862.567547835875</v>
      </c>
    </row>
    <row r="132" spans="1:3">
      <c r="A132">
        <v>108</v>
      </c>
      <c r="B132">
        <v>592510.57286483631</v>
      </c>
      <c r="C132">
        <v>121100.58713516372</v>
      </c>
    </row>
    <row r="133" spans="1:3">
      <c r="A133">
        <v>109</v>
      </c>
      <c r="B133">
        <v>767260.99896511133</v>
      </c>
      <c r="C133">
        <v>11136.971034888644</v>
      </c>
    </row>
    <row r="134" spans="1:3">
      <c r="A134">
        <v>110</v>
      </c>
      <c r="B134">
        <v>785901.5196362196</v>
      </c>
      <c r="C134">
        <v>87478.500363780418</v>
      </c>
    </row>
    <row r="135" spans="1:3">
      <c r="A135">
        <v>111</v>
      </c>
      <c r="B135">
        <v>776492.15547336568</v>
      </c>
      <c r="C135">
        <v>-79204.255473365658</v>
      </c>
    </row>
    <row r="136" spans="1:3">
      <c r="A136">
        <v>112</v>
      </c>
      <c r="B136">
        <v>777347.55221544334</v>
      </c>
      <c r="C136">
        <v>-59272.762215443305</v>
      </c>
    </row>
    <row r="137" spans="1:3">
      <c r="A137">
        <v>113</v>
      </c>
      <c r="B137">
        <v>726451.44606182468</v>
      </c>
      <c r="C137">
        <v>-11509.01606182463</v>
      </c>
    </row>
    <row r="138" spans="1:3">
      <c r="A138">
        <v>114</v>
      </c>
      <c r="B138">
        <v>748299.70451572398</v>
      </c>
      <c r="C138">
        <v>72219.33548427606</v>
      </c>
    </row>
    <row r="139" spans="1:3">
      <c r="A139">
        <v>115</v>
      </c>
      <c r="B139">
        <v>751079.74392747623</v>
      </c>
      <c r="C139">
        <v>-66862.42392747628</v>
      </c>
    </row>
    <row r="140" spans="1:3">
      <c r="A140">
        <v>116</v>
      </c>
      <c r="B140">
        <v>726273.23840722512</v>
      </c>
      <c r="C140">
        <v>9206.9515927748289</v>
      </c>
    </row>
    <row r="141" spans="1:3">
      <c r="A141">
        <v>117</v>
      </c>
      <c r="B141">
        <v>585025.8513716571</v>
      </c>
      <c r="C141">
        <v>-75541.041371657106</v>
      </c>
    </row>
    <row r="142" spans="1:3">
      <c r="A142">
        <v>118</v>
      </c>
      <c r="B142">
        <v>579358.84795539291</v>
      </c>
      <c r="C142">
        <v>74958.242044607061</v>
      </c>
    </row>
    <row r="143" spans="1:3">
      <c r="A143">
        <v>119</v>
      </c>
      <c r="B143">
        <v>605341.52399600076</v>
      </c>
      <c r="C143">
        <v>-47854.263996000751</v>
      </c>
    </row>
    <row r="144" spans="1:3">
      <c r="A144">
        <v>120</v>
      </c>
      <c r="B144">
        <v>515631.79067060974</v>
      </c>
      <c r="C144">
        <v>-74356.370670609758</v>
      </c>
    </row>
    <row r="145" spans="1:3">
      <c r="A145">
        <v>121</v>
      </c>
      <c r="B145">
        <v>818228.38818056986</v>
      </c>
      <c r="C145">
        <v>96315.78181943018</v>
      </c>
    </row>
    <row r="146" spans="1:3">
      <c r="A146">
        <v>122</v>
      </c>
      <c r="B146">
        <v>842464.62920610257</v>
      </c>
      <c r="C146">
        <v>-24.959206102532335</v>
      </c>
    </row>
    <row r="147" spans="1:3">
      <c r="A147">
        <v>123</v>
      </c>
      <c r="B147">
        <v>788931.04976441117</v>
      </c>
      <c r="C147">
        <v>53226.870235588867</v>
      </c>
    </row>
    <row r="148" spans="1:3">
      <c r="A148">
        <v>124</v>
      </c>
      <c r="B148">
        <v>740708.05842978507</v>
      </c>
      <c r="C148">
        <v>-43552.758429785026</v>
      </c>
    </row>
    <row r="149" spans="1:3">
      <c r="A149">
        <v>125</v>
      </c>
      <c r="B149">
        <v>826140.80804478796</v>
      </c>
      <c r="C149">
        <v>22877.491955212085</v>
      </c>
    </row>
    <row r="150" spans="1:3">
      <c r="A150">
        <v>126</v>
      </c>
      <c r="B150">
        <v>825356.69436455006</v>
      </c>
      <c r="C150">
        <v>-23526.344364550081</v>
      </c>
    </row>
    <row r="151" spans="1:3">
      <c r="A151">
        <v>127</v>
      </c>
      <c r="B151">
        <v>790534.91865580669</v>
      </c>
      <c r="C151">
        <v>-65299.638655806659</v>
      </c>
    </row>
    <row r="152" spans="1:3">
      <c r="A152">
        <v>128</v>
      </c>
      <c r="B152">
        <v>833910.66178532643</v>
      </c>
      <c r="C152">
        <v>-22457.94178532646</v>
      </c>
    </row>
    <row r="153" spans="1:3">
      <c r="A153">
        <v>129</v>
      </c>
      <c r="B153">
        <v>556156.21132653719</v>
      </c>
      <c r="C153">
        <v>-28856.081326537183</v>
      </c>
    </row>
    <row r="154" spans="1:3">
      <c r="A154">
        <v>130</v>
      </c>
      <c r="B154">
        <v>576650.09160548041</v>
      </c>
      <c r="C154">
        <v>16597.158394519589</v>
      </c>
    </row>
    <row r="155" spans="1:3">
      <c r="A155">
        <v>131</v>
      </c>
      <c r="B155">
        <v>517663.35793304408</v>
      </c>
      <c r="C155">
        <v>11412.592066955869</v>
      </c>
    </row>
    <row r="156" spans="1:3">
      <c r="A156">
        <v>132</v>
      </c>
      <c r="B156">
        <v>670244.75180114061</v>
      </c>
      <c r="C156">
        <v>73104.088198859361</v>
      </c>
    </row>
    <row r="157" spans="1:3">
      <c r="A157">
        <v>133</v>
      </c>
      <c r="B157">
        <v>680937.21107711096</v>
      </c>
      <c r="C157">
        <v>77890.428922889056</v>
      </c>
    </row>
    <row r="158" spans="1:3">
      <c r="A158">
        <v>134</v>
      </c>
      <c r="B158">
        <v>642479.99921453767</v>
      </c>
      <c r="C158">
        <v>4079.7107854622882</v>
      </c>
    </row>
    <row r="159" spans="1:3">
      <c r="A159">
        <v>135</v>
      </c>
      <c r="B159">
        <v>676767.15195948246</v>
      </c>
      <c r="C159">
        <v>39123.378040517564</v>
      </c>
    </row>
    <row r="160" spans="1:3">
      <c r="A160">
        <v>136</v>
      </c>
      <c r="B160">
        <v>686639.85602429509</v>
      </c>
      <c r="C160">
        <v>28457.713975704857</v>
      </c>
    </row>
    <row r="161" spans="1:3">
      <c r="A161">
        <v>137</v>
      </c>
      <c r="B161">
        <v>648895.47478011984</v>
      </c>
      <c r="C161">
        <v>33743.805219880189</v>
      </c>
    </row>
    <row r="162" spans="1:3">
      <c r="A162">
        <v>138</v>
      </c>
      <c r="B162">
        <v>664720.31450855592</v>
      </c>
      <c r="C162">
        <v>30378.195491444087</v>
      </c>
    </row>
    <row r="163" spans="1:3">
      <c r="A163">
        <v>139</v>
      </c>
      <c r="B163">
        <v>601385.31406389177</v>
      </c>
      <c r="C163">
        <v>-23652.74406389182</v>
      </c>
    </row>
    <row r="164" spans="1:3">
      <c r="A164">
        <v>140</v>
      </c>
      <c r="B164">
        <v>560041.13819680642</v>
      </c>
      <c r="C164">
        <v>-22982.808196806465</v>
      </c>
    </row>
    <row r="165" spans="1:3">
      <c r="A165">
        <v>141</v>
      </c>
      <c r="B165">
        <v>599496.312925137</v>
      </c>
      <c r="C165">
        <v>2072.557074862998</v>
      </c>
    </row>
    <row r="166" spans="1:3">
      <c r="A166">
        <v>142</v>
      </c>
      <c r="B166">
        <v>567098.16131894686</v>
      </c>
      <c r="C166">
        <v>3866.6786810531048</v>
      </c>
    </row>
    <row r="167" spans="1:3">
      <c r="A167">
        <v>143</v>
      </c>
      <c r="B167">
        <v>637632.75100943109</v>
      </c>
      <c r="C167">
        <v>-23607.841009431053</v>
      </c>
    </row>
    <row r="168" spans="1:3">
      <c r="A168">
        <v>144</v>
      </c>
      <c r="B168">
        <v>681186.70179355028</v>
      </c>
      <c r="C168">
        <v>31681.648206449696</v>
      </c>
    </row>
    <row r="169" spans="1:3">
      <c r="A169">
        <v>145</v>
      </c>
      <c r="B169">
        <v>645509.52934272925</v>
      </c>
      <c r="C169">
        <v>51234.620657270774</v>
      </c>
    </row>
    <row r="170" spans="1:3">
      <c r="A170">
        <v>146</v>
      </c>
      <c r="B170">
        <v>658376.12200481351</v>
      </c>
      <c r="C170">
        <v>67471.867995186476</v>
      </c>
    </row>
    <row r="171" spans="1:3">
      <c r="A171">
        <v>147</v>
      </c>
      <c r="B171">
        <v>792495.20285640133</v>
      </c>
      <c r="C171">
        <v>-7466.9528564013308</v>
      </c>
    </row>
    <row r="172" spans="1:3">
      <c r="A172">
        <v>148</v>
      </c>
      <c r="B172">
        <v>687922.95113741152</v>
      </c>
      <c r="C172">
        <v>10569.718862588517</v>
      </c>
    </row>
    <row r="173" spans="1:3">
      <c r="A173">
        <v>149</v>
      </c>
      <c r="B173">
        <v>723742.68971191207</v>
      </c>
      <c r="C173">
        <v>-37912.449711912079</v>
      </c>
    </row>
    <row r="174" spans="1:3">
      <c r="A174">
        <v>150</v>
      </c>
      <c r="B174">
        <v>721889.33010407723</v>
      </c>
      <c r="C174">
        <v>-19570.390104077291</v>
      </c>
    </row>
    <row r="175" spans="1:3">
      <c r="A175">
        <v>151</v>
      </c>
      <c r="B175">
        <v>676660.22736672277</v>
      </c>
      <c r="C175">
        <v>23418.092633277178</v>
      </c>
    </row>
    <row r="176" spans="1:3">
      <c r="A176">
        <v>152</v>
      </c>
      <c r="B176">
        <v>640163.29970474413</v>
      </c>
      <c r="C176">
        <v>-38160.979704744183</v>
      </c>
    </row>
    <row r="177" spans="1:3">
      <c r="A177">
        <v>153</v>
      </c>
      <c r="B177">
        <v>697724.37214038428</v>
      </c>
      <c r="C177">
        <v>26491.69785961567</v>
      </c>
    </row>
    <row r="178" spans="1:3">
      <c r="A178">
        <v>154</v>
      </c>
      <c r="B178">
        <v>584812.00218613772</v>
      </c>
      <c r="C178">
        <v>36161.027813862311</v>
      </c>
    </row>
    <row r="179" spans="1:3">
      <c r="A179">
        <v>155</v>
      </c>
      <c r="B179">
        <v>713406.64574514073</v>
      </c>
      <c r="C179">
        <v>-62926.585745140677</v>
      </c>
    </row>
    <row r="180" spans="1:3">
      <c r="A180">
        <v>156</v>
      </c>
      <c r="B180">
        <v>696904.61692922655</v>
      </c>
      <c r="C180">
        <v>81394.26307077345</v>
      </c>
    </row>
    <row r="181" spans="1:3">
      <c r="A181">
        <v>157</v>
      </c>
      <c r="B181">
        <v>663508.50245727925</v>
      </c>
      <c r="C181">
        <v>28500.137542720768</v>
      </c>
    </row>
    <row r="182" spans="1:3">
      <c r="A182">
        <v>158</v>
      </c>
      <c r="B182">
        <v>779985.02550351596</v>
      </c>
      <c r="C182">
        <v>45812.884496484068</v>
      </c>
    </row>
    <row r="183" spans="1:3">
      <c r="A183">
        <v>159</v>
      </c>
      <c r="B183">
        <v>760952.44799228886</v>
      </c>
      <c r="C183">
        <v>-54666.927992288838</v>
      </c>
    </row>
    <row r="184" spans="1:3">
      <c r="A184">
        <v>160</v>
      </c>
      <c r="B184">
        <v>695015.6157904719</v>
      </c>
      <c r="C184">
        <v>-29480.915790471947</v>
      </c>
    </row>
    <row r="185" spans="1:3">
      <c r="A185">
        <v>161</v>
      </c>
      <c r="B185">
        <v>784155.08462114446</v>
      </c>
      <c r="C185">
        <v>36574.205378855579</v>
      </c>
    </row>
    <row r="186" spans="1:3">
      <c r="A186">
        <v>162</v>
      </c>
      <c r="B186">
        <v>781802.74358043098</v>
      </c>
      <c r="C186">
        <v>-41971.013580430998</v>
      </c>
    </row>
    <row r="187" spans="1:3">
      <c r="A187">
        <v>163</v>
      </c>
      <c r="B187">
        <v>717719.27098644886</v>
      </c>
      <c r="C187">
        <v>-124082.13098644884</v>
      </c>
    </row>
    <row r="188" spans="1:3">
      <c r="A188">
        <v>164</v>
      </c>
      <c r="B188">
        <v>766655.09293947299</v>
      </c>
      <c r="C188">
        <v>3047.6670605270192</v>
      </c>
    </row>
    <row r="189" spans="1:3">
      <c r="A189">
        <v>165</v>
      </c>
      <c r="B189">
        <v>721105.21642383945</v>
      </c>
      <c r="C189">
        <v>-41373.646423839498</v>
      </c>
    </row>
    <row r="190" spans="1:3">
      <c r="A190">
        <v>166</v>
      </c>
      <c r="B190">
        <v>759241.65450813365</v>
      </c>
      <c r="C190">
        <v>21102.5254918664</v>
      </c>
    </row>
    <row r="191" spans="1:3">
      <c r="A191">
        <v>167</v>
      </c>
      <c r="B191">
        <v>785580.74585794052</v>
      </c>
      <c r="C191">
        <v>-64216.635857940535</v>
      </c>
    </row>
    <row r="192" spans="1:3">
      <c r="A192">
        <v>168</v>
      </c>
      <c r="B192">
        <v>797912.71555622621</v>
      </c>
      <c r="C192">
        <v>-39774.425556226168</v>
      </c>
    </row>
    <row r="193" spans="1:3">
      <c r="A193">
        <v>169</v>
      </c>
      <c r="B193">
        <v>818442.23736608936</v>
      </c>
      <c r="C193">
        <v>-14178.237366089365</v>
      </c>
    </row>
    <row r="194" spans="1:3">
      <c r="A194">
        <v>170</v>
      </c>
      <c r="B194">
        <v>888263.99643817544</v>
      </c>
      <c r="C194">
        <v>-726.24643817543983</v>
      </c>
    </row>
    <row r="195" spans="1:3">
      <c r="A195">
        <v>171</v>
      </c>
      <c r="B195">
        <v>730158.16527749435</v>
      </c>
      <c r="C195">
        <v>53423.83472250565</v>
      </c>
    </row>
    <row r="196" spans="1:3">
      <c r="A196">
        <v>172</v>
      </c>
      <c r="B196">
        <v>763839.41199680092</v>
      </c>
      <c r="C196">
        <v>18116.1080031991</v>
      </c>
    </row>
    <row r="197" spans="1:3">
      <c r="A197">
        <v>173</v>
      </c>
      <c r="B197">
        <v>804078.70040536916</v>
      </c>
      <c r="C197">
        <v>93952.339594630874</v>
      </c>
    </row>
    <row r="198" spans="1:3">
      <c r="A198">
        <v>174</v>
      </c>
      <c r="B198">
        <v>845244.66861785483</v>
      </c>
      <c r="C198">
        <v>10096.611382145202</v>
      </c>
    </row>
    <row r="199" spans="1:3">
      <c r="A199">
        <v>175</v>
      </c>
      <c r="B199">
        <v>778701.93039039965</v>
      </c>
      <c r="C199">
        <v>-27308.050390399643</v>
      </c>
    </row>
    <row r="200" spans="1:3">
      <c r="A200">
        <v>176</v>
      </c>
      <c r="B200">
        <v>797413.73412334768</v>
      </c>
      <c r="C200">
        <v>-36336.654123347718</v>
      </c>
    </row>
    <row r="201" spans="1:3">
      <c r="A201">
        <v>177</v>
      </c>
      <c r="B201">
        <v>830524.71634793584</v>
      </c>
      <c r="C201">
        <v>-10864.126347935875</v>
      </c>
    </row>
    <row r="202" spans="1:3">
      <c r="A202">
        <v>178</v>
      </c>
      <c r="B202">
        <v>664542.10685395636</v>
      </c>
      <c r="C202">
        <v>17313.453146043699</v>
      </c>
    </row>
    <row r="203" spans="1:3">
      <c r="A203">
        <v>179</v>
      </c>
      <c r="B203">
        <v>634888.35312859877</v>
      </c>
      <c r="C203">
        <v>43422.816871401272</v>
      </c>
    </row>
    <row r="204" spans="1:3">
      <c r="A204">
        <v>180</v>
      </c>
      <c r="B204">
        <v>679939.24821135367</v>
      </c>
      <c r="C204">
        <v>85967.701788646285</v>
      </c>
    </row>
    <row r="205" spans="1:3">
      <c r="A205">
        <v>181</v>
      </c>
      <c r="B205">
        <v>730407.65599393356</v>
      </c>
      <c r="C205">
        <v>-17861.275993933552</v>
      </c>
    </row>
    <row r="206" spans="1:3">
      <c r="A206">
        <v>182</v>
      </c>
      <c r="B206">
        <v>572658.24014245148</v>
      </c>
      <c r="C206">
        <v>53335.589857548475</v>
      </c>
    </row>
    <row r="207" spans="1:3">
      <c r="A207">
        <v>183</v>
      </c>
      <c r="B207">
        <v>530102.25222408958</v>
      </c>
      <c r="C207">
        <v>20860.677775910473</v>
      </c>
    </row>
    <row r="208" spans="1:3">
      <c r="A208">
        <v>184</v>
      </c>
      <c r="B208">
        <v>492892.49394371285</v>
      </c>
      <c r="C208">
        <v>-49616.903943712823</v>
      </c>
    </row>
    <row r="209" spans="1:3">
      <c r="A209">
        <v>185</v>
      </c>
      <c r="B209">
        <v>605341.52399600076</v>
      </c>
      <c r="C209">
        <v>-51329.453996000811</v>
      </c>
    </row>
    <row r="210" spans="1:3">
      <c r="A210">
        <v>186</v>
      </c>
      <c r="B210">
        <v>667856.76922950719</v>
      </c>
      <c r="C210">
        <v>-24427.919229507213</v>
      </c>
    </row>
    <row r="211" spans="1:3">
      <c r="A211">
        <v>187</v>
      </c>
      <c r="B211">
        <v>631252.91697476886</v>
      </c>
      <c r="C211">
        <v>-19328.646974768839</v>
      </c>
    </row>
    <row r="212" spans="1:3">
      <c r="A212">
        <v>188</v>
      </c>
      <c r="B212">
        <v>582530.94420726411</v>
      </c>
      <c r="C212">
        <v>-23108.924207264092</v>
      </c>
    </row>
    <row r="213" spans="1:3">
      <c r="A213">
        <v>189</v>
      </c>
      <c r="B213">
        <v>624837.44140918669</v>
      </c>
      <c r="C213">
        <v>66609.988590813358</v>
      </c>
    </row>
    <row r="214" spans="1:3">
      <c r="A214">
        <v>190</v>
      </c>
      <c r="B214">
        <v>603309.95673356636</v>
      </c>
      <c r="C214">
        <v>-29243.346733566374</v>
      </c>
    </row>
    <row r="215" spans="1:3">
      <c r="A215">
        <v>191</v>
      </c>
      <c r="B215">
        <v>626334.38570782251</v>
      </c>
      <c r="C215">
        <v>-47384.545707822545</v>
      </c>
    </row>
    <row r="216" spans="1:3">
      <c r="A216">
        <v>192</v>
      </c>
      <c r="B216">
        <v>646400.56761572673</v>
      </c>
      <c r="C216">
        <v>89386.072384273284</v>
      </c>
    </row>
    <row r="217" spans="1:3">
      <c r="A217">
        <v>193</v>
      </c>
      <c r="B217">
        <v>659944.34936528921</v>
      </c>
      <c r="C217">
        <v>-61039.449365289183</v>
      </c>
    </row>
    <row r="218" spans="1:3">
      <c r="A218">
        <v>194</v>
      </c>
      <c r="B218">
        <v>675412.77378452627</v>
      </c>
      <c r="C218">
        <v>112302.73621547373</v>
      </c>
    </row>
    <row r="219" spans="1:3">
      <c r="A219">
        <v>195</v>
      </c>
      <c r="B219">
        <v>693483.02996091614</v>
      </c>
      <c r="C219">
        <v>-86398.109960916103</v>
      </c>
    </row>
    <row r="220" spans="1:3">
      <c r="A220">
        <v>196</v>
      </c>
      <c r="B220">
        <v>662082.84122048318</v>
      </c>
      <c r="C220">
        <v>-11287.351220483193</v>
      </c>
    </row>
    <row r="221" spans="1:3">
      <c r="A221">
        <v>197</v>
      </c>
      <c r="B221">
        <v>785438.17973426089</v>
      </c>
      <c r="C221">
        <v>39622.340265739127</v>
      </c>
    </row>
    <row r="222" spans="1:3">
      <c r="A222">
        <v>198</v>
      </c>
      <c r="B222">
        <v>728376.08873149927</v>
      </c>
      <c r="C222">
        <v>67088.3812685007</v>
      </c>
    </row>
    <row r="223" spans="1:3">
      <c r="A223">
        <v>199</v>
      </c>
      <c r="B223">
        <v>778559.3642667199</v>
      </c>
      <c r="C223">
        <v>-106690.77426671993</v>
      </c>
    </row>
    <row r="224" spans="1:3">
      <c r="A224">
        <v>200</v>
      </c>
      <c r="B224">
        <v>743630.66396521684</v>
      </c>
      <c r="C224">
        <v>-67713.033965216833</v>
      </c>
    </row>
    <row r="225" spans="1:3">
      <c r="A225">
        <v>201</v>
      </c>
      <c r="B225">
        <v>808569.53330127662</v>
      </c>
      <c r="C225">
        <v>1876.9966987234075</v>
      </c>
    </row>
    <row r="226" spans="1:3">
      <c r="A226">
        <v>202</v>
      </c>
      <c r="B226">
        <v>784796.63217770262</v>
      </c>
      <c r="C226">
        <v>-93508.442177702673</v>
      </c>
    </row>
    <row r="227" spans="1:3">
      <c r="A227">
        <v>203</v>
      </c>
      <c r="B227">
        <v>906405.53567640507</v>
      </c>
      <c r="C227">
        <v>40428.004323594971</v>
      </c>
    </row>
    <row r="228" spans="1:3">
      <c r="A228">
        <v>204</v>
      </c>
      <c r="B228">
        <v>795275.24226815358</v>
      </c>
      <c r="C228">
        <v>-33312.012268153601</v>
      </c>
    </row>
    <row r="229" spans="1:3">
      <c r="A229">
        <v>205</v>
      </c>
      <c r="B229">
        <v>786471.784130938</v>
      </c>
      <c r="C229">
        <v>25680.815869061975</v>
      </c>
    </row>
    <row r="230" spans="1:3">
      <c r="A230">
        <v>206</v>
      </c>
      <c r="B230">
        <v>783157.12175538717</v>
      </c>
      <c r="C230">
        <v>21818.378244612832</v>
      </c>
    </row>
    <row r="231" spans="1:3">
      <c r="A231">
        <v>207</v>
      </c>
      <c r="B231">
        <v>791425.95692880428</v>
      </c>
      <c r="C231">
        <v>-39104.236928804312</v>
      </c>
    </row>
    <row r="232" spans="1:3">
      <c r="A232">
        <v>208</v>
      </c>
      <c r="B232">
        <v>847739.57578224805</v>
      </c>
      <c r="C232">
        <v>-10831.335782248061</v>
      </c>
    </row>
    <row r="233" spans="1:3">
      <c r="A233">
        <v>209</v>
      </c>
      <c r="B233">
        <v>639949.45051922463</v>
      </c>
      <c r="C233">
        <v>34339.649480775348</v>
      </c>
    </row>
    <row r="234" spans="1:3">
      <c r="A234">
        <v>210</v>
      </c>
      <c r="B234">
        <v>626405.66876966227</v>
      </c>
      <c r="C234">
        <v>-3513.2487696622266</v>
      </c>
    </row>
    <row r="235" spans="1:3">
      <c r="A235">
        <v>211</v>
      </c>
      <c r="B235">
        <v>606909.75135647645</v>
      </c>
      <c r="C235">
        <v>66438.808643523604</v>
      </c>
    </row>
    <row r="236" spans="1:3">
      <c r="A236">
        <v>212</v>
      </c>
      <c r="B236">
        <v>614430.11438057548</v>
      </c>
      <c r="C236">
        <v>-8151.8143805754371</v>
      </c>
    </row>
    <row r="237" spans="1:3">
      <c r="A237">
        <v>213</v>
      </c>
      <c r="B237">
        <v>707561.43467427697</v>
      </c>
      <c r="C237">
        <v>4658.3753257230856</v>
      </c>
    </row>
    <row r="238" spans="1:3">
      <c r="A238">
        <v>214</v>
      </c>
      <c r="B238">
        <v>711588.92766822584</v>
      </c>
      <c r="C238">
        <v>-38918.387668225798</v>
      </c>
    </row>
    <row r="239" spans="1:3">
      <c r="A239">
        <v>215</v>
      </c>
      <c r="B239">
        <v>728554.29638609872</v>
      </c>
      <c r="C239">
        <v>4113.6236139013199</v>
      </c>
    </row>
    <row r="240" spans="1:3">
      <c r="A240">
        <v>216</v>
      </c>
      <c r="B240">
        <v>760382.18349757046</v>
      </c>
      <c r="C240">
        <v>-36850.783497570432</v>
      </c>
    </row>
    <row r="241" spans="1:3">
      <c r="A241">
        <v>217</v>
      </c>
      <c r="B241">
        <v>615677.56796277198</v>
      </c>
      <c r="C241">
        <v>25887.032037227997</v>
      </c>
    </row>
    <row r="242" spans="1:3">
      <c r="A242">
        <v>218</v>
      </c>
      <c r="B242">
        <v>548992.26361163717</v>
      </c>
      <c r="C242">
        <v>-12446.773611637182</v>
      </c>
    </row>
    <row r="243" spans="1:3">
      <c r="A243">
        <v>219</v>
      </c>
      <c r="B243">
        <v>585703.04045913531</v>
      </c>
      <c r="C243">
        <v>-58021.480459135259</v>
      </c>
    </row>
    <row r="244" spans="1:3">
      <c r="A244">
        <v>220</v>
      </c>
      <c r="B244">
        <v>660015.63242712896</v>
      </c>
      <c r="C244">
        <v>-89052.322427128907</v>
      </c>
    </row>
    <row r="245" spans="1:3">
      <c r="A245">
        <v>221</v>
      </c>
      <c r="B245">
        <v>767082.79131051176</v>
      </c>
      <c r="C245">
        <v>103854.60868948826</v>
      </c>
    </row>
    <row r="246" spans="1:3">
      <c r="A246">
        <v>222</v>
      </c>
      <c r="B246">
        <v>680972.85260803089</v>
      </c>
      <c r="C246">
        <v>-84003.582608030876</v>
      </c>
    </row>
    <row r="247" spans="1:3">
      <c r="A247">
        <v>223</v>
      </c>
      <c r="B247">
        <v>599674.52057973645</v>
      </c>
      <c r="C247">
        <v>58397.619420263567</v>
      </c>
    </row>
    <row r="248" spans="1:3">
      <c r="A248">
        <v>224</v>
      </c>
      <c r="B248">
        <v>637347.61876207194</v>
      </c>
      <c r="C248">
        <v>85957.491237928043</v>
      </c>
    </row>
    <row r="249" spans="1:3">
      <c r="A249">
        <v>225</v>
      </c>
      <c r="B249">
        <v>642978.98064741632</v>
      </c>
      <c r="C249">
        <v>-2312.4506474162918</v>
      </c>
    </row>
    <row r="250" spans="1:3">
      <c r="A250">
        <v>226</v>
      </c>
      <c r="B250">
        <v>667571.63698214805</v>
      </c>
      <c r="C250">
        <v>3057.8430178519338</v>
      </c>
    </row>
    <row r="251" spans="1:3">
      <c r="A251">
        <v>227</v>
      </c>
      <c r="B251">
        <v>800835.3210916582</v>
      </c>
      <c r="C251">
        <v>-79755.971091658226</v>
      </c>
    </row>
    <row r="252" spans="1:3">
      <c r="A252">
        <v>228</v>
      </c>
      <c r="B252">
        <v>803971.77581260947</v>
      </c>
      <c r="C252">
        <v>6383.2441873905482</v>
      </c>
    </row>
    <row r="253" spans="1:3">
      <c r="A253">
        <v>229</v>
      </c>
      <c r="B253">
        <v>793493.1657221585</v>
      </c>
      <c r="C253">
        <v>-31573.915722158505</v>
      </c>
    </row>
    <row r="254" spans="1:3">
      <c r="A254">
        <v>230</v>
      </c>
      <c r="B254">
        <v>779664.25172523689</v>
      </c>
      <c r="C254">
        <v>-42594.071725236834</v>
      </c>
    </row>
    <row r="255" spans="1:3">
      <c r="A255">
        <v>231</v>
      </c>
      <c r="B255">
        <v>734791.56429708144</v>
      </c>
      <c r="C255">
        <v>42201.365702918614</v>
      </c>
    </row>
    <row r="256" spans="1:3">
      <c r="A256">
        <v>232</v>
      </c>
      <c r="B256">
        <v>649002.39937287953</v>
      </c>
      <c r="C256">
        <v>27335.0106271205</v>
      </c>
    </row>
    <row r="257" spans="1:3">
      <c r="A257">
        <v>233</v>
      </c>
      <c r="B257">
        <v>806823.09828620148</v>
      </c>
      <c r="C257">
        <v>21396.571713798563</v>
      </c>
    </row>
    <row r="258" spans="1:3">
      <c r="A258">
        <v>234</v>
      </c>
      <c r="B258">
        <v>732973.84622016642</v>
      </c>
      <c r="C258">
        <v>30186.073779833619</v>
      </c>
    </row>
    <row r="259" spans="1:3">
      <c r="A259">
        <v>235</v>
      </c>
      <c r="B259">
        <v>766120.46997567452</v>
      </c>
      <c r="C259">
        <v>35881.210024325526</v>
      </c>
    </row>
    <row r="260" spans="1:3">
      <c r="A260">
        <v>236</v>
      </c>
      <c r="B260">
        <v>758956.52226077439</v>
      </c>
      <c r="C260">
        <v>-8485.1822607744252</v>
      </c>
    </row>
    <row r="261" spans="1:3">
      <c r="A261">
        <v>237</v>
      </c>
      <c r="B261">
        <v>710519.68174062879</v>
      </c>
      <c r="C261">
        <v>-31288.821740628802</v>
      </c>
    </row>
    <row r="262" spans="1:3">
      <c r="A262">
        <v>238</v>
      </c>
      <c r="B262">
        <v>737072.62227595504</v>
      </c>
      <c r="C262">
        <v>-57183.882275955053</v>
      </c>
    </row>
    <row r="263" spans="1:3">
      <c r="A263">
        <v>239</v>
      </c>
      <c r="B263">
        <v>653172.45849050803</v>
      </c>
      <c r="C263">
        <v>-10421.038490507985</v>
      </c>
    </row>
    <row r="264" spans="1:3">
      <c r="A264">
        <v>240</v>
      </c>
      <c r="B264">
        <v>673024.79121289286</v>
      </c>
      <c r="C264">
        <v>-25071.01121289283</v>
      </c>
    </row>
    <row r="265" spans="1:3">
      <c r="A265">
        <v>241</v>
      </c>
      <c r="B265">
        <v>691487.10422940168</v>
      </c>
      <c r="C265">
        <v>37953.345770598273</v>
      </c>
    </row>
    <row r="266" spans="1:3">
      <c r="A266">
        <v>242</v>
      </c>
      <c r="B266">
        <v>689419.89543604734</v>
      </c>
      <c r="C266">
        <v>75529.104563952656</v>
      </c>
    </row>
    <row r="267" spans="1:3">
      <c r="A267">
        <v>243</v>
      </c>
      <c r="B267">
        <v>692057.36872412008</v>
      </c>
      <c r="C267">
        <v>106989.57127587986</v>
      </c>
    </row>
    <row r="268" spans="1:3">
      <c r="A268">
        <v>244</v>
      </c>
      <c r="B268">
        <v>648752.90865644021</v>
      </c>
      <c r="C268">
        <v>71326.631343559828</v>
      </c>
    </row>
    <row r="269" spans="1:3">
      <c r="A269">
        <v>245</v>
      </c>
      <c r="B269">
        <v>653956.57217074581</v>
      </c>
      <c r="C269">
        <v>-41566.4321707458</v>
      </c>
    </row>
    <row r="270" spans="1:3">
      <c r="A270">
        <v>246</v>
      </c>
      <c r="B270">
        <v>738712.13269827049</v>
      </c>
      <c r="C270">
        <v>101395.9873017295</v>
      </c>
    </row>
    <row r="271" spans="1:3">
      <c r="A271">
        <v>247</v>
      </c>
      <c r="B271">
        <v>717647.9879246091</v>
      </c>
      <c r="C271">
        <v>-19759.897924609133</v>
      </c>
    </row>
    <row r="272" spans="1:3">
      <c r="A272">
        <v>248</v>
      </c>
      <c r="B272">
        <v>755428.01069970417</v>
      </c>
      <c r="C272">
        <v>-9312.4206997042056</v>
      </c>
    </row>
    <row r="273" spans="1:3">
      <c r="A273">
        <v>249</v>
      </c>
      <c r="B273">
        <v>726986.06902562315</v>
      </c>
      <c r="C273">
        <v>49124.250974376802</v>
      </c>
    </row>
    <row r="274" spans="1:3">
      <c r="A274">
        <v>250</v>
      </c>
      <c r="B274">
        <v>556298.77745021682</v>
      </c>
      <c r="C274">
        <v>-27446.157450216822</v>
      </c>
    </row>
    <row r="275" spans="1:3">
      <c r="A275">
        <v>251</v>
      </c>
      <c r="B275">
        <v>622413.81730663334</v>
      </c>
      <c r="C275">
        <v>55226.832693366683</v>
      </c>
    </row>
    <row r="276" spans="1:3">
      <c r="A276">
        <v>252</v>
      </c>
      <c r="B276">
        <v>591049.27009712043</v>
      </c>
      <c r="C276">
        <v>45563.959902879549</v>
      </c>
    </row>
    <row r="277" spans="1:3">
      <c r="A277">
        <v>253</v>
      </c>
      <c r="B277">
        <v>708737.60519463383</v>
      </c>
      <c r="C277">
        <v>247.58480536611751</v>
      </c>
    </row>
    <row r="278" spans="1:3">
      <c r="A278">
        <v>254</v>
      </c>
      <c r="B278">
        <v>737429.03758515418</v>
      </c>
      <c r="C278">
        <v>30363.902414845768</v>
      </c>
    </row>
    <row r="279" spans="1:3">
      <c r="A279">
        <v>255</v>
      </c>
      <c r="B279">
        <v>731726.39263796993</v>
      </c>
      <c r="C279">
        <v>13854.117362030083</v>
      </c>
    </row>
    <row r="280" spans="1:3">
      <c r="A280">
        <v>256</v>
      </c>
      <c r="B280">
        <v>705743.71659736207</v>
      </c>
      <c r="C280">
        <v>56584.593402637984</v>
      </c>
    </row>
    <row r="281" spans="1:3">
      <c r="A281">
        <v>257</v>
      </c>
      <c r="B281">
        <v>734684.63970432174</v>
      </c>
      <c r="C281">
        <v>-74050.649704321753</v>
      </c>
    </row>
    <row r="282" spans="1:3">
      <c r="A282">
        <v>258</v>
      </c>
      <c r="B282">
        <v>733472.82765304507</v>
      </c>
      <c r="C282">
        <v>5901.7323469549883</v>
      </c>
    </row>
    <row r="283" spans="1:3">
      <c r="A283">
        <v>259</v>
      </c>
      <c r="B283">
        <v>810957.51587291004</v>
      </c>
      <c r="C283">
        <v>-11201.055872910074</v>
      </c>
    </row>
    <row r="284" spans="1:3">
      <c r="A284">
        <v>260</v>
      </c>
      <c r="B284">
        <v>713085.87196686165</v>
      </c>
      <c r="C284">
        <v>-119742.87196686165</v>
      </c>
    </row>
    <row r="285" spans="1:3">
      <c r="A285">
        <v>261</v>
      </c>
      <c r="B285">
        <v>650463.70214059553</v>
      </c>
      <c r="C285">
        <v>-5423.732140595559</v>
      </c>
    </row>
    <row r="286" spans="1:3">
      <c r="A286">
        <v>262</v>
      </c>
      <c r="B286">
        <v>566242.7645768692</v>
      </c>
      <c r="C286">
        <v>-4645.4345768692438</v>
      </c>
    </row>
    <row r="287" spans="1:3">
      <c r="A287">
        <v>263</v>
      </c>
      <c r="B287">
        <v>653243.74155234778</v>
      </c>
      <c r="C287">
        <v>-17406.001552347792</v>
      </c>
    </row>
    <row r="288" spans="1:3">
      <c r="A288">
        <v>264</v>
      </c>
      <c r="B288">
        <v>657734.57444825536</v>
      </c>
      <c r="C288">
        <v>29003.295551744639</v>
      </c>
    </row>
    <row r="289" spans="1:3">
      <c r="A289">
        <v>265</v>
      </c>
      <c r="B289">
        <v>752933.10353531106</v>
      </c>
      <c r="C289">
        <v>-79856.763535311096</v>
      </c>
    </row>
    <row r="290" spans="1:3">
      <c r="A290">
        <v>266</v>
      </c>
      <c r="B290">
        <v>732866.92162740673</v>
      </c>
      <c r="C290">
        <v>5681.4983725933125</v>
      </c>
    </row>
    <row r="291" spans="1:3">
      <c r="A291">
        <v>267</v>
      </c>
      <c r="B291">
        <v>780020.6670344359</v>
      </c>
      <c r="C291">
        <v>-23400.897034435882</v>
      </c>
    </row>
    <row r="292" spans="1:3">
      <c r="A292">
        <v>268</v>
      </c>
      <c r="B292">
        <v>772357.73788665724</v>
      </c>
      <c r="C292">
        <v>-11235.317886657198</v>
      </c>
    </row>
    <row r="293" spans="1:3">
      <c r="A293">
        <v>269</v>
      </c>
      <c r="B293">
        <v>591049.27009712043</v>
      </c>
      <c r="C293">
        <v>-66149.700097120483</v>
      </c>
    </row>
    <row r="294" spans="1:3">
      <c r="A294">
        <v>270</v>
      </c>
      <c r="B294">
        <v>602917.89989344752</v>
      </c>
      <c r="C294">
        <v>-47360.129893447505</v>
      </c>
    </row>
    <row r="295" spans="1:3">
      <c r="A295">
        <v>271</v>
      </c>
      <c r="B295">
        <v>652459.62787211</v>
      </c>
      <c r="C295">
        <v>61624.052127890056</v>
      </c>
    </row>
    <row r="296" spans="1:3">
      <c r="A296">
        <v>272</v>
      </c>
      <c r="B296">
        <v>555585.94683181879</v>
      </c>
      <c r="C296">
        <v>-58146.126831818779</v>
      </c>
    </row>
    <row r="297" spans="1:3">
      <c r="A297">
        <v>273</v>
      </c>
      <c r="B297">
        <v>645937.22771376814</v>
      </c>
      <c r="C297">
        <v>-9161.567713768105</v>
      </c>
    </row>
    <row r="298" spans="1:3">
      <c r="A298">
        <v>274</v>
      </c>
      <c r="B298">
        <v>607622.58197487437</v>
      </c>
      <c r="C298">
        <v>25386.948025125661</v>
      </c>
    </row>
    <row r="299" spans="1:3">
      <c r="A299">
        <v>275</v>
      </c>
      <c r="B299">
        <v>596039.08442590653</v>
      </c>
      <c r="C299">
        <v>13909.915574093466</v>
      </c>
    </row>
    <row r="300" spans="1:3">
      <c r="A300">
        <v>276</v>
      </c>
      <c r="B300">
        <v>593615.4603233533</v>
      </c>
      <c r="C300">
        <v>-45511.760323353345</v>
      </c>
    </row>
    <row r="301" spans="1:3">
      <c r="A301">
        <v>277</v>
      </c>
      <c r="B301">
        <v>750081.78106171894</v>
      </c>
      <c r="C301">
        <v>-20657.361061718897</v>
      </c>
    </row>
    <row r="302" spans="1:3">
      <c r="A302">
        <v>278</v>
      </c>
      <c r="B302">
        <v>725489.12472698721</v>
      </c>
      <c r="C302">
        <v>-29227.63472698722</v>
      </c>
    </row>
    <row r="303" spans="1:3">
      <c r="A303">
        <v>279</v>
      </c>
      <c r="B303">
        <v>743523.73937245714</v>
      </c>
      <c r="C303">
        <v>69792.970627542818</v>
      </c>
    </row>
    <row r="304" spans="1:3">
      <c r="A304">
        <v>280</v>
      </c>
      <c r="B304">
        <v>700147.99624293763</v>
      </c>
      <c r="C304">
        <v>1920.92375706241</v>
      </c>
    </row>
    <row r="305" spans="1:3">
      <c r="A305">
        <v>281</v>
      </c>
      <c r="B305">
        <v>584348.66228417901</v>
      </c>
      <c r="C305">
        <v>-38124.962284179055</v>
      </c>
    </row>
    <row r="306" spans="1:3">
      <c r="A306">
        <v>282</v>
      </c>
      <c r="B306">
        <v>531741.76264640503</v>
      </c>
      <c r="C306">
        <v>1379.497353594983</v>
      </c>
    </row>
    <row r="307" spans="1:3">
      <c r="A307">
        <v>283</v>
      </c>
      <c r="B307">
        <v>491573.75729967648</v>
      </c>
      <c r="C307">
        <v>7396.5627003235277</v>
      </c>
    </row>
    <row r="308" spans="1:3">
      <c r="A308">
        <v>284</v>
      </c>
      <c r="B308">
        <v>509109.39051226783</v>
      </c>
      <c r="C308">
        <v>-21371.130512267817</v>
      </c>
    </row>
    <row r="309" spans="1:3">
      <c r="A309">
        <v>285</v>
      </c>
      <c r="B309">
        <v>657841.49904101505</v>
      </c>
      <c r="C309">
        <v>10617.870958984946</v>
      </c>
    </row>
    <row r="310" spans="1:3">
      <c r="A310">
        <v>286</v>
      </c>
      <c r="B310">
        <v>658090.98975745437</v>
      </c>
      <c r="C310">
        <v>105071.46024254558</v>
      </c>
    </row>
    <row r="311" spans="1:3">
      <c r="A311">
        <v>287</v>
      </c>
      <c r="B311">
        <v>622271.25118295371</v>
      </c>
      <c r="C311">
        <v>-23253.921182953753</v>
      </c>
    </row>
    <row r="312" spans="1:3">
      <c r="A312">
        <v>288</v>
      </c>
      <c r="B312">
        <v>499806.95094217366</v>
      </c>
      <c r="C312">
        <v>-98224.370942173642</v>
      </c>
    </row>
    <row r="313" spans="1:3">
      <c r="A313">
        <v>289</v>
      </c>
      <c r="B313">
        <v>741812.94588830206</v>
      </c>
      <c r="C313">
        <v>-37999.955888302065</v>
      </c>
    </row>
    <row r="314" spans="1:3">
      <c r="A314">
        <v>290</v>
      </c>
      <c r="B314">
        <v>732439.22325636796</v>
      </c>
      <c r="C314">
        <v>-8092.4932563679758</v>
      </c>
    </row>
    <row r="315" spans="1:3">
      <c r="A315">
        <v>291</v>
      </c>
      <c r="B315">
        <v>742383.21038302034</v>
      </c>
      <c r="C315">
        <v>-11493.200383020332</v>
      </c>
    </row>
    <row r="316" spans="1:3">
      <c r="A316">
        <v>292</v>
      </c>
      <c r="B316">
        <v>739353.68025482877</v>
      </c>
      <c r="C316">
        <v>41227.269745171187</v>
      </c>
    </row>
    <row r="317" spans="1:3">
      <c r="A317">
        <v>293</v>
      </c>
      <c r="B317">
        <v>680580.79576791194</v>
      </c>
      <c r="C317">
        <v>47376.684232088039</v>
      </c>
    </row>
    <row r="318" spans="1:3">
      <c r="A318">
        <v>294</v>
      </c>
      <c r="B318">
        <v>654562.47819638415</v>
      </c>
      <c r="C318">
        <v>-116186.47819638415</v>
      </c>
    </row>
    <row r="319" spans="1:3">
      <c r="A319">
        <v>295</v>
      </c>
      <c r="B319">
        <v>672276.31906357501</v>
      </c>
      <c r="C319">
        <v>-6933.8290635750163</v>
      </c>
    </row>
    <row r="320" spans="1:3">
      <c r="A320">
        <v>296</v>
      </c>
      <c r="B320">
        <v>675769.18909372529</v>
      </c>
      <c r="C320">
        <v>-24605.009093725239</v>
      </c>
    </row>
    <row r="321" spans="1:3">
      <c r="A321">
        <v>297</v>
      </c>
      <c r="B321">
        <v>652958.60930498852</v>
      </c>
      <c r="C321">
        <v>-24420.309304988477</v>
      </c>
    </row>
    <row r="322" spans="1:3">
      <c r="A322">
        <v>298</v>
      </c>
      <c r="B322">
        <v>636064.52364895551</v>
      </c>
      <c r="C322">
        <v>-99539.683648955543</v>
      </c>
    </row>
    <row r="323" spans="1:3">
      <c r="A323">
        <v>299</v>
      </c>
      <c r="B323">
        <v>641375.11175602069</v>
      </c>
      <c r="C323">
        <v>-19697.811756020645</v>
      </c>
    </row>
    <row r="324" spans="1:3">
      <c r="A324">
        <v>300</v>
      </c>
      <c r="B324">
        <v>667393.42932754848</v>
      </c>
      <c r="C324">
        <v>34659.040672451491</v>
      </c>
    </row>
    <row r="325" spans="1:3">
      <c r="A325">
        <v>301</v>
      </c>
      <c r="B325">
        <v>661548.21825668472</v>
      </c>
      <c r="C325">
        <v>50827.5517433153</v>
      </c>
    </row>
    <row r="326" spans="1:3">
      <c r="A326">
        <v>302</v>
      </c>
      <c r="B326">
        <v>802938.17141593224</v>
      </c>
      <c r="C326">
        <v>41772.498584067798</v>
      </c>
    </row>
    <row r="327" spans="1:3">
      <c r="A327">
        <v>303</v>
      </c>
      <c r="B327">
        <v>648681.62559460045</v>
      </c>
      <c r="C327">
        <v>-28417.4255946005</v>
      </c>
    </row>
    <row r="328" spans="1:3">
      <c r="A328">
        <v>304</v>
      </c>
      <c r="B328">
        <v>571232.57890565542</v>
      </c>
      <c r="C328">
        <v>-34387.158905655378</v>
      </c>
    </row>
    <row r="329" spans="1:3">
      <c r="A329">
        <v>305</v>
      </c>
      <c r="B329">
        <v>724811.93563950923</v>
      </c>
      <c r="C329">
        <v>1964.2843604907393</v>
      </c>
    </row>
    <row r="330" spans="1:3" ht="15.75" thickBot="1">
      <c r="A330" s="3">
        <v>306</v>
      </c>
      <c r="B330" s="3">
        <v>637205.05263839231</v>
      </c>
      <c r="C330" s="3">
        <v>-77544.212638392346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60D9-43FF-4EDB-9B81-861AEB4CD565}">
  <dimension ref="A1:I335"/>
  <sheetViews>
    <sheetView topLeftCell="A4" workbookViewId="0">
      <selection activeCell="B23" sqref="B23"/>
    </sheetView>
  </sheetViews>
  <sheetFormatPr defaultRowHeight="15"/>
  <cols>
    <col min="1" max="1" width="24.42578125" bestFit="1" customWidth="1"/>
  </cols>
  <sheetData>
    <row r="1" spans="1:9">
      <c r="A1" t="s">
        <v>103</v>
      </c>
    </row>
    <row r="2" spans="1:9" ht="15.75" thickBot="1"/>
    <row r="3" spans="1:9">
      <c r="A3" s="5" t="s">
        <v>104</v>
      </c>
      <c r="B3" s="5"/>
    </row>
    <row r="4" spans="1:9">
      <c r="A4" t="s">
        <v>105</v>
      </c>
      <c r="B4">
        <v>0.90260513896760464</v>
      </c>
    </row>
    <row r="5" spans="1:9">
      <c r="A5" t="s">
        <v>106</v>
      </c>
      <c r="B5">
        <v>0.81469603689072889</v>
      </c>
    </row>
    <row r="6" spans="1:9">
      <c r="A6" t="s">
        <v>107</v>
      </c>
      <c r="B6">
        <v>0.81097756271462307</v>
      </c>
    </row>
    <row r="7" spans="1:9">
      <c r="A7" t="s">
        <v>108</v>
      </c>
      <c r="B7">
        <v>44750.03452683083</v>
      </c>
    </row>
    <row r="8" spans="1:9" ht="15.75" thickBot="1">
      <c r="A8" s="3" t="s">
        <v>109</v>
      </c>
      <c r="B8" s="3">
        <v>306</v>
      </c>
    </row>
    <row r="10" spans="1:9" ht="15.75" thickBot="1">
      <c r="A10" t="s">
        <v>110</v>
      </c>
    </row>
    <row r="11" spans="1:9">
      <c r="A11" s="4"/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</row>
    <row r="12" spans="1:9">
      <c r="A12" t="s">
        <v>111</v>
      </c>
      <c r="B12">
        <v>6</v>
      </c>
      <c r="C12">
        <v>2632502751361.7749</v>
      </c>
      <c r="D12">
        <v>438750458560.29584</v>
      </c>
      <c r="E12">
        <v>219.09417634948613</v>
      </c>
      <c r="F12">
        <v>2.6852630491369356E-106</v>
      </c>
    </row>
    <row r="13" spans="1:9">
      <c r="A13" t="s">
        <v>112</v>
      </c>
      <c r="B13">
        <v>299</v>
      </c>
      <c r="C13">
        <v>598767111455.61279</v>
      </c>
      <c r="D13">
        <v>2002565590.1525512</v>
      </c>
    </row>
    <row r="14" spans="1:9" ht="15.75" thickBot="1">
      <c r="A14" s="3" t="s">
        <v>113</v>
      </c>
      <c r="B14" s="3">
        <v>305</v>
      </c>
      <c r="C14" s="3">
        <v>3231269862817.3877</v>
      </c>
      <c r="D14" s="3"/>
      <c r="E14" s="3"/>
      <c r="F14" s="3"/>
    </row>
    <row r="15" spans="1:9" ht="15.75" thickBot="1"/>
    <row r="16" spans="1:9">
      <c r="A16" s="4"/>
      <c r="B16" s="4" t="s">
        <v>120</v>
      </c>
      <c r="C16" s="4" t="s">
        <v>108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</row>
    <row r="17" spans="1:9">
      <c r="A17" t="s">
        <v>114</v>
      </c>
      <c r="B17">
        <v>163378.74805279903</v>
      </c>
      <c r="C17">
        <v>44779.293938413983</v>
      </c>
      <c r="D17">
        <v>3.6485333662808008</v>
      </c>
      <c r="E17">
        <v>3.1110897179046233E-4</v>
      </c>
      <c r="F17">
        <v>75256.246951581779</v>
      </c>
      <c r="G17">
        <v>251501.24915401626</v>
      </c>
      <c r="H17">
        <v>75256.246951581779</v>
      </c>
      <c r="I17">
        <v>251501.24915401626</v>
      </c>
    </row>
    <row r="18" spans="1:9">
      <c r="A18" t="s">
        <v>4</v>
      </c>
      <c r="B18">
        <v>1.1730350317496818</v>
      </c>
      <c r="C18">
        <v>0.13198452775140082</v>
      </c>
      <c r="D18">
        <v>8.8876707878907553</v>
      </c>
      <c r="E18">
        <v>5.9952950042924256E-17</v>
      </c>
      <c r="F18">
        <v>0.91329876373007934</v>
      </c>
      <c r="G18">
        <v>1.4327712997692843</v>
      </c>
      <c r="H18">
        <v>0.91329876373007934</v>
      </c>
      <c r="I18">
        <v>1.4327712997692843</v>
      </c>
    </row>
    <row r="19" spans="1:9">
      <c r="A19" t="s">
        <v>5</v>
      </c>
      <c r="B19">
        <v>33.600428869900306</v>
      </c>
      <c r="C19">
        <v>1.0661524485300535</v>
      </c>
      <c r="D19">
        <v>31.515595087950643</v>
      </c>
      <c r="E19">
        <v>4.8736602030568098E-97</v>
      </c>
      <c r="F19">
        <v>31.502315834691007</v>
      </c>
      <c r="G19">
        <v>35.698541905109607</v>
      </c>
      <c r="H19">
        <v>31.502315834691007</v>
      </c>
      <c r="I19">
        <v>35.698541905109607</v>
      </c>
    </row>
    <row r="20" spans="1:9">
      <c r="A20" t="s">
        <v>8</v>
      </c>
      <c r="B20">
        <v>2876.5156808056508</v>
      </c>
      <c r="C20">
        <v>486.93273457855059</v>
      </c>
      <c r="D20">
        <v>5.9074189852841359</v>
      </c>
      <c r="E20">
        <v>9.445267427769251E-9</v>
      </c>
      <c r="F20">
        <v>1918.2663055892435</v>
      </c>
      <c r="G20">
        <v>3834.7650560220582</v>
      </c>
      <c r="H20">
        <v>1918.2663055892435</v>
      </c>
      <c r="I20">
        <v>3834.7650560220582</v>
      </c>
    </row>
    <row r="21" spans="1:9">
      <c r="A21" t="s">
        <v>102</v>
      </c>
      <c r="B21">
        <v>-11351.010801309974</v>
      </c>
      <c r="C21">
        <v>9931.2899187029361</v>
      </c>
      <c r="D21">
        <v>-1.1429543286147927</v>
      </c>
      <c r="E21">
        <v>0.25397188701830126</v>
      </c>
      <c r="F21">
        <v>-30895.090884418238</v>
      </c>
      <c r="G21">
        <v>8193.069281798289</v>
      </c>
      <c r="H21">
        <v>-30895.090884418238</v>
      </c>
      <c r="I21">
        <v>8193.069281798289</v>
      </c>
    </row>
    <row r="22" spans="1:9">
      <c r="A22" t="s">
        <v>131</v>
      </c>
      <c r="B22">
        <v>-22750.65716446385</v>
      </c>
      <c r="C22">
        <v>9530.1002852682686</v>
      </c>
      <c r="D22">
        <v>-2.3872421573183296</v>
      </c>
      <c r="E22">
        <v>1.7596536855609954E-2</v>
      </c>
      <c r="F22">
        <v>-41505.224265014447</v>
      </c>
      <c r="G22">
        <v>-3996.0900639132487</v>
      </c>
      <c r="H22">
        <v>-41505.224265014447</v>
      </c>
      <c r="I22">
        <v>-3996.0900639132487</v>
      </c>
    </row>
    <row r="23" spans="1:9" ht="15.75" thickBot="1">
      <c r="A23" s="3" t="s">
        <v>132</v>
      </c>
      <c r="B23" s="3">
        <v>-37246.111820505146</v>
      </c>
      <c r="C23" s="3">
        <v>9626.5469611385961</v>
      </c>
      <c r="D23" s="3">
        <v>-3.8691040485091861</v>
      </c>
      <c r="E23" s="3">
        <v>1.3412140115407788E-4</v>
      </c>
      <c r="F23" s="3">
        <v>-56190.479195983724</v>
      </c>
      <c r="G23" s="3">
        <v>-18301.744445026568</v>
      </c>
      <c r="H23" s="3">
        <v>-56190.479195983724</v>
      </c>
      <c r="I23" s="3">
        <v>-18301.744445026568</v>
      </c>
    </row>
    <row r="27" spans="1:9">
      <c r="A27" t="s">
        <v>127</v>
      </c>
    </row>
    <row r="28" spans="1:9" ht="15.75" thickBot="1"/>
    <row r="29" spans="1:9">
      <c r="A29" s="4" t="s">
        <v>128</v>
      </c>
      <c r="B29" s="4" t="s">
        <v>129</v>
      </c>
      <c r="C29" s="4" t="s">
        <v>130</v>
      </c>
    </row>
    <row r="30" spans="1:9">
      <c r="A30">
        <v>1</v>
      </c>
      <c r="B30">
        <v>703390.96465431189</v>
      </c>
      <c r="C30">
        <v>-44558.344654311892</v>
      </c>
    </row>
    <row r="31" spans="1:9">
      <c r="A31">
        <v>2</v>
      </c>
      <c r="B31">
        <v>705489.04984880623</v>
      </c>
      <c r="C31">
        <v>-71053.049848806229</v>
      </c>
    </row>
    <row r="32" spans="1:9">
      <c r="A32">
        <v>3</v>
      </c>
      <c r="B32">
        <v>755757.03634833929</v>
      </c>
      <c r="C32">
        <v>-77034.976348339231</v>
      </c>
    </row>
    <row r="33" spans="1:3">
      <c r="A33">
        <v>4</v>
      </c>
      <c r="B33">
        <v>759682.31234356458</v>
      </c>
      <c r="C33">
        <v>-100762.01234356454</v>
      </c>
    </row>
    <row r="34" spans="1:3">
      <c r="A34">
        <v>5</v>
      </c>
      <c r="B34">
        <v>798881.83759765094</v>
      </c>
      <c r="C34">
        <v>-57540.397597650997</v>
      </c>
    </row>
    <row r="35" spans="1:3">
      <c r="A35">
        <v>6</v>
      </c>
      <c r="B35">
        <v>787871.93048632017</v>
      </c>
      <c r="C35">
        <v>-26036.590486320201</v>
      </c>
    </row>
    <row r="36" spans="1:3">
      <c r="A36">
        <v>7</v>
      </c>
      <c r="B36">
        <v>796619.37556385051</v>
      </c>
      <c r="C36">
        <v>9996.1644361495273</v>
      </c>
    </row>
    <row r="37" spans="1:3">
      <c r="A37">
        <v>8</v>
      </c>
      <c r="B37">
        <v>783418.46542368503</v>
      </c>
      <c r="C37">
        <v>66745.794576314976</v>
      </c>
    </row>
    <row r="38" spans="1:3">
      <c r="A38">
        <v>9</v>
      </c>
      <c r="B38">
        <v>871406.64535577607</v>
      </c>
      <c r="C38">
        <v>59175.054644223885</v>
      </c>
    </row>
    <row r="39" spans="1:3">
      <c r="A39">
        <v>10</v>
      </c>
      <c r="B39">
        <v>805631.94955528132</v>
      </c>
      <c r="C39">
        <v>-26621.009555281373</v>
      </c>
    </row>
    <row r="40" spans="1:3">
      <c r="A40">
        <v>11</v>
      </c>
      <c r="B40">
        <v>765775.96866355813</v>
      </c>
      <c r="C40">
        <v>-42715.208663558122</v>
      </c>
    </row>
    <row r="41" spans="1:3">
      <c r="A41">
        <v>12</v>
      </c>
      <c r="B41">
        <v>865821.13252864103</v>
      </c>
      <c r="C41">
        <v>44970.807471358916</v>
      </c>
    </row>
    <row r="42" spans="1:3">
      <c r="A42">
        <v>13</v>
      </c>
      <c r="B42">
        <v>874646.51141671638</v>
      </c>
      <c r="C42">
        <v>47522.088583283592</v>
      </c>
    </row>
    <row r="43" spans="1:3">
      <c r="A43">
        <v>14</v>
      </c>
      <c r="B43">
        <v>773525.31110836274</v>
      </c>
      <c r="C43">
        <v>-46919.031108362717</v>
      </c>
    </row>
    <row r="44" spans="1:3">
      <c r="A44">
        <v>15</v>
      </c>
      <c r="B44">
        <v>750718.99745055672</v>
      </c>
      <c r="C44">
        <v>-4217.9074505567551</v>
      </c>
    </row>
    <row r="45" spans="1:3">
      <c r="A45">
        <v>16</v>
      </c>
      <c r="B45">
        <v>802111.01357141789</v>
      </c>
      <c r="C45">
        <v>31906.006428582128</v>
      </c>
    </row>
    <row r="46" spans="1:3">
      <c r="A46">
        <v>17</v>
      </c>
      <c r="B46">
        <v>672770.34773105441</v>
      </c>
      <c r="C46">
        <v>-6617.8277310543926</v>
      </c>
    </row>
    <row r="47" spans="1:3">
      <c r="A47">
        <v>18</v>
      </c>
      <c r="B47">
        <v>590701.40584672848</v>
      </c>
      <c r="C47">
        <v>-17546.215846728534</v>
      </c>
    </row>
    <row r="48" spans="1:3">
      <c r="A48">
        <v>19</v>
      </c>
      <c r="B48">
        <v>675363.60222967656</v>
      </c>
      <c r="C48">
        <v>-8790.4022296766052</v>
      </c>
    </row>
    <row r="49" spans="1:3">
      <c r="A49">
        <v>20</v>
      </c>
      <c r="B49">
        <v>592207.8929728159</v>
      </c>
      <c r="C49">
        <v>-587.94297281594481</v>
      </c>
    </row>
    <row r="50" spans="1:3">
      <c r="A50">
        <v>21</v>
      </c>
      <c r="B50">
        <v>500490.55610907392</v>
      </c>
      <c r="C50">
        <v>-84768.736109073914</v>
      </c>
    </row>
    <row r="51" spans="1:3">
      <c r="A51">
        <v>22</v>
      </c>
      <c r="B51">
        <v>491289.60408166633</v>
      </c>
      <c r="C51">
        <v>615.52591833367478</v>
      </c>
    </row>
    <row r="52" spans="1:3">
      <c r="A52">
        <v>23</v>
      </c>
      <c r="B52">
        <v>524619.87048662745</v>
      </c>
      <c r="C52">
        <v>31309.529513372574</v>
      </c>
    </row>
    <row r="53" spans="1:3">
      <c r="A53">
        <v>24</v>
      </c>
      <c r="B53">
        <v>551656.70954699267</v>
      </c>
      <c r="C53">
        <v>14154.280453007319</v>
      </c>
    </row>
    <row r="54" spans="1:3">
      <c r="A54">
        <v>25</v>
      </c>
      <c r="B54">
        <v>835730.84457050764</v>
      </c>
      <c r="C54">
        <v>-23959.704570507631</v>
      </c>
    </row>
    <row r="55" spans="1:3">
      <c r="A55">
        <v>26</v>
      </c>
      <c r="B55">
        <v>902183.86243587406</v>
      </c>
      <c r="C55">
        <v>-101731.92243587412</v>
      </c>
    </row>
    <row r="56" spans="1:3">
      <c r="A56">
        <v>27</v>
      </c>
      <c r="B56">
        <v>794201.77942367119</v>
      </c>
      <c r="C56">
        <v>-10528.959423671244</v>
      </c>
    </row>
    <row r="57" spans="1:3">
      <c r="A57">
        <v>28</v>
      </c>
      <c r="B57">
        <v>698762.91430480243</v>
      </c>
      <c r="C57">
        <v>2879.055695197545</v>
      </c>
    </row>
    <row r="58" spans="1:3">
      <c r="A58">
        <v>29</v>
      </c>
      <c r="B58">
        <v>585105.90989368455</v>
      </c>
      <c r="C58">
        <v>-73261.49989368458</v>
      </c>
    </row>
    <row r="59" spans="1:3">
      <c r="A59">
        <v>30</v>
      </c>
      <c r="B59">
        <v>532241.30078324117</v>
      </c>
      <c r="C59">
        <v>5142.4892167588696</v>
      </c>
    </row>
    <row r="60" spans="1:3">
      <c r="A60">
        <v>31</v>
      </c>
      <c r="B60">
        <v>513893.54882897821</v>
      </c>
      <c r="C60">
        <v>-13720.528828978189</v>
      </c>
    </row>
    <row r="61" spans="1:3">
      <c r="A61">
        <v>32</v>
      </c>
      <c r="B61">
        <v>499254.43670829211</v>
      </c>
      <c r="C61">
        <v>-71337.056708292104</v>
      </c>
    </row>
    <row r="62" spans="1:3">
      <c r="A62">
        <v>33</v>
      </c>
      <c r="B62">
        <v>746610.0035052083</v>
      </c>
      <c r="C62">
        <v>-104744.97350520827</v>
      </c>
    </row>
    <row r="63" spans="1:3">
      <c r="A63">
        <v>34</v>
      </c>
      <c r="B63">
        <v>795840.27091459942</v>
      </c>
      <c r="C63">
        <v>3111.8990854006261</v>
      </c>
    </row>
    <row r="64" spans="1:3">
      <c r="A64">
        <v>35</v>
      </c>
      <c r="B64">
        <v>823698.27241741412</v>
      </c>
      <c r="C64">
        <v>-22718.492417414091</v>
      </c>
    </row>
    <row r="65" spans="1:3">
      <c r="A65">
        <v>36</v>
      </c>
      <c r="B65">
        <v>776320.97502386197</v>
      </c>
      <c r="C65">
        <v>44272.954976138077</v>
      </c>
    </row>
    <row r="66" spans="1:3">
      <c r="A66">
        <v>37</v>
      </c>
      <c r="B66">
        <v>765144.15332511324</v>
      </c>
      <c r="C66">
        <v>-46813.623325113207</v>
      </c>
    </row>
    <row r="67" spans="1:3">
      <c r="A67">
        <v>38</v>
      </c>
      <c r="B67">
        <v>754116.81959338905</v>
      </c>
      <c r="C67">
        <v>-17483.41959338903</v>
      </c>
    </row>
    <row r="68" spans="1:3">
      <c r="A68">
        <v>39</v>
      </c>
      <c r="B68">
        <v>833547.72132875398</v>
      </c>
      <c r="C68">
        <v>-4923.8713287540013</v>
      </c>
    </row>
    <row r="69" spans="1:3">
      <c r="A69">
        <v>40</v>
      </c>
      <c r="B69">
        <v>596314.04583560769</v>
      </c>
      <c r="C69">
        <v>-4118.1958356077084</v>
      </c>
    </row>
    <row r="70" spans="1:3">
      <c r="A70">
        <v>41</v>
      </c>
      <c r="B70">
        <v>531450.53058762196</v>
      </c>
      <c r="C70">
        <v>1193.9294123779982</v>
      </c>
    </row>
    <row r="71" spans="1:3">
      <c r="A71">
        <v>42</v>
      </c>
      <c r="B71">
        <v>598491.20059675281</v>
      </c>
      <c r="C71">
        <v>58937.979403247242</v>
      </c>
    </row>
    <row r="72" spans="1:3">
      <c r="A72">
        <v>43</v>
      </c>
      <c r="B72">
        <v>603067.59912528947</v>
      </c>
      <c r="C72">
        <v>2110.4008747105254</v>
      </c>
    </row>
    <row r="73" spans="1:3">
      <c r="A73">
        <v>44</v>
      </c>
      <c r="B73">
        <v>715597.90339645767</v>
      </c>
      <c r="C73">
        <v>-120130.30339645769</v>
      </c>
    </row>
    <row r="74" spans="1:3">
      <c r="A74">
        <v>45</v>
      </c>
      <c r="B74">
        <v>634255.46052707534</v>
      </c>
      <c r="C74">
        <v>-34652.060527075315</v>
      </c>
    </row>
    <row r="75" spans="1:3">
      <c r="A75">
        <v>46</v>
      </c>
      <c r="B75">
        <v>574126.89760524838</v>
      </c>
      <c r="C75">
        <v>40673.19239475159</v>
      </c>
    </row>
    <row r="76" spans="1:3">
      <c r="A76">
        <v>47</v>
      </c>
      <c r="B76">
        <v>565531.7123000311</v>
      </c>
      <c r="C76">
        <v>19834.017699968885</v>
      </c>
    </row>
    <row r="77" spans="1:3">
      <c r="A77">
        <v>48</v>
      </c>
      <c r="B77">
        <v>658100.94591789879</v>
      </c>
      <c r="C77">
        <v>-35289.205917898798</v>
      </c>
    </row>
    <row r="78" spans="1:3">
      <c r="A78">
        <v>49</v>
      </c>
      <c r="B78">
        <v>601357.04628490191</v>
      </c>
      <c r="C78">
        <v>1940.5237150980392</v>
      </c>
    </row>
    <row r="79" spans="1:3">
      <c r="A79">
        <v>50</v>
      </c>
      <c r="B79">
        <v>612985.14632612385</v>
      </c>
      <c r="C79">
        <v>12687.713673876133</v>
      </c>
    </row>
    <row r="80" spans="1:3">
      <c r="A80">
        <v>51</v>
      </c>
      <c r="B80">
        <v>739724.57846949261</v>
      </c>
      <c r="C80">
        <v>34090.561530507402</v>
      </c>
    </row>
    <row r="81" spans="1:3">
      <c r="A81">
        <v>52</v>
      </c>
      <c r="B81">
        <v>555483.16084897856</v>
      </c>
      <c r="C81">
        <v>-91948.910848978558</v>
      </c>
    </row>
    <row r="82" spans="1:3">
      <c r="A82">
        <v>53</v>
      </c>
      <c r="B82">
        <v>710736.46902421757</v>
      </c>
      <c r="C82">
        <v>35941.280975782429</v>
      </c>
    </row>
    <row r="83" spans="1:3">
      <c r="A83">
        <v>54</v>
      </c>
      <c r="B83">
        <v>674346.60236603383</v>
      </c>
      <c r="C83">
        <v>46505.897633966175</v>
      </c>
    </row>
    <row r="84" spans="1:3">
      <c r="A84">
        <v>55</v>
      </c>
      <c r="B84">
        <v>526319.43102271855</v>
      </c>
      <c r="C84">
        <v>-38854.521022718574</v>
      </c>
    </row>
    <row r="85" spans="1:3">
      <c r="A85">
        <v>56</v>
      </c>
      <c r="B85">
        <v>538690.14821773209</v>
      </c>
      <c r="C85">
        <v>-20640.888217732077</v>
      </c>
    </row>
    <row r="86" spans="1:3">
      <c r="A86">
        <v>57</v>
      </c>
      <c r="B86">
        <v>536183.96212673921</v>
      </c>
      <c r="C86">
        <v>-35885.482126739225</v>
      </c>
    </row>
    <row r="87" spans="1:3">
      <c r="A87">
        <v>58</v>
      </c>
      <c r="B87">
        <v>688550.34744788008</v>
      </c>
      <c r="C87">
        <v>-71259.197447880055</v>
      </c>
    </row>
    <row r="88" spans="1:3">
      <c r="A88">
        <v>59</v>
      </c>
      <c r="B88">
        <v>627421.80630114628</v>
      </c>
      <c r="C88">
        <v>-73665.376301146229</v>
      </c>
    </row>
    <row r="89" spans="1:3">
      <c r="A89">
        <v>60</v>
      </c>
      <c r="B89">
        <v>681776.55025465088</v>
      </c>
      <c r="C89">
        <v>67783.159745349083</v>
      </c>
    </row>
    <row r="90" spans="1:3">
      <c r="A90">
        <v>61</v>
      </c>
      <c r="B90">
        <v>565165.39420586836</v>
      </c>
      <c r="C90">
        <v>50801.085794131621</v>
      </c>
    </row>
    <row r="91" spans="1:3">
      <c r="A91">
        <v>62</v>
      </c>
      <c r="B91">
        <v>584023.00626059331</v>
      </c>
      <c r="C91">
        <v>-12011.806260593352</v>
      </c>
    </row>
    <row r="92" spans="1:3">
      <c r="A92">
        <v>63</v>
      </c>
      <c r="B92">
        <v>713037.72762470052</v>
      </c>
      <c r="C92">
        <v>48822.462375299423</v>
      </c>
    </row>
    <row r="93" spans="1:3">
      <c r="A93">
        <v>64</v>
      </c>
      <c r="B93">
        <v>804628.40427889535</v>
      </c>
      <c r="C93">
        <v>-20125.724278895301</v>
      </c>
    </row>
    <row r="94" spans="1:3">
      <c r="A94">
        <v>65</v>
      </c>
      <c r="B94">
        <v>735793.61433261551</v>
      </c>
      <c r="C94">
        <v>-18652.064332615468</v>
      </c>
    </row>
    <row r="95" spans="1:3">
      <c r="A95">
        <v>66</v>
      </c>
      <c r="B95">
        <v>841983.82738020818</v>
      </c>
      <c r="C95">
        <v>-156604.74738020822</v>
      </c>
    </row>
    <row r="96" spans="1:3">
      <c r="A96">
        <v>67</v>
      </c>
      <c r="B96">
        <v>732730.44346905767</v>
      </c>
      <c r="C96">
        <v>7766.2065309423488</v>
      </c>
    </row>
    <row r="97" spans="1:3">
      <c r="A97">
        <v>68</v>
      </c>
      <c r="B97">
        <v>600355.74427488388</v>
      </c>
      <c r="C97">
        <v>61571.395725116134</v>
      </c>
    </row>
    <row r="98" spans="1:3">
      <c r="A98">
        <v>69</v>
      </c>
      <c r="B98">
        <v>514334.15548510029</v>
      </c>
      <c r="C98">
        <v>-35283.655485100287</v>
      </c>
    </row>
    <row r="99" spans="1:3">
      <c r="A99">
        <v>70</v>
      </c>
      <c r="B99">
        <v>603742.17946652218</v>
      </c>
      <c r="C99">
        <v>1281.690533477813</v>
      </c>
    </row>
    <row r="100" spans="1:3">
      <c r="A100">
        <v>71</v>
      </c>
      <c r="B100">
        <v>605845.34102983086</v>
      </c>
      <c r="C100">
        <v>10224.068970169174</v>
      </c>
    </row>
    <row r="101" spans="1:3">
      <c r="A101">
        <v>72</v>
      </c>
      <c r="B101">
        <v>690505.33352725406</v>
      </c>
      <c r="C101">
        <v>-59675.393527254113</v>
      </c>
    </row>
    <row r="102" spans="1:3">
      <c r="A102">
        <v>73</v>
      </c>
      <c r="B102">
        <v>704903.0492382159</v>
      </c>
      <c r="C102">
        <v>83184.630761784152</v>
      </c>
    </row>
    <row r="103" spans="1:3">
      <c r="A103">
        <v>74</v>
      </c>
      <c r="B103">
        <v>717397.88536368473</v>
      </c>
      <c r="C103">
        <v>-36557.525363684748</v>
      </c>
    </row>
    <row r="104" spans="1:3">
      <c r="A104">
        <v>75</v>
      </c>
      <c r="B104">
        <v>654810.95242839039</v>
      </c>
      <c r="C104">
        <v>-11153.482428390416</v>
      </c>
    </row>
    <row r="105" spans="1:3">
      <c r="A105">
        <v>76</v>
      </c>
      <c r="B105">
        <v>650976.02710237785</v>
      </c>
      <c r="C105">
        <v>40136.572897622129</v>
      </c>
    </row>
    <row r="106" spans="1:3">
      <c r="A106">
        <v>77</v>
      </c>
      <c r="B106">
        <v>726315.35227995587</v>
      </c>
      <c r="C106">
        <v>50606.817720044171</v>
      </c>
    </row>
    <row r="107" spans="1:3">
      <c r="A107">
        <v>78</v>
      </c>
      <c r="B107">
        <v>666714.39297959104</v>
      </c>
      <c r="C107">
        <v>-30153.05297959107</v>
      </c>
    </row>
    <row r="108" spans="1:3">
      <c r="A108">
        <v>79</v>
      </c>
      <c r="B108">
        <v>646561.28055554663</v>
      </c>
      <c r="C108">
        <v>-25191.700555546675</v>
      </c>
    </row>
    <row r="109" spans="1:3">
      <c r="A109">
        <v>80</v>
      </c>
      <c r="B109">
        <v>630438.26480983337</v>
      </c>
      <c r="C109">
        <v>51769.745190166635</v>
      </c>
    </row>
    <row r="110" spans="1:3">
      <c r="A110">
        <v>81</v>
      </c>
      <c r="B110">
        <v>643928.81984056882</v>
      </c>
      <c r="C110">
        <v>83313.04015943117</v>
      </c>
    </row>
    <row r="111" spans="1:3">
      <c r="A111">
        <v>82</v>
      </c>
      <c r="B111">
        <v>554875.66015275894</v>
      </c>
      <c r="C111">
        <v>14225.119847241091</v>
      </c>
    </row>
    <row r="112" spans="1:3">
      <c r="A112">
        <v>83</v>
      </c>
      <c r="B112">
        <v>555113.64903840446</v>
      </c>
      <c r="C112">
        <v>19322.640961595578</v>
      </c>
    </row>
    <row r="113" spans="1:3">
      <c r="A113">
        <v>84</v>
      </c>
      <c r="B113">
        <v>614246.92422950582</v>
      </c>
      <c r="C113">
        <v>349.39577049412765</v>
      </c>
    </row>
    <row r="114" spans="1:3">
      <c r="A114">
        <v>85</v>
      </c>
      <c r="B114">
        <v>453778.93492034497</v>
      </c>
      <c r="C114">
        <v>-3067.0149203449837</v>
      </c>
    </row>
    <row r="115" spans="1:3">
      <c r="A115">
        <v>86</v>
      </c>
      <c r="B115">
        <v>675116.50490530487</v>
      </c>
      <c r="C115">
        <v>36096.955094695091</v>
      </c>
    </row>
    <row r="116" spans="1:3">
      <c r="A116">
        <v>87</v>
      </c>
      <c r="B116">
        <v>749758.6359530515</v>
      </c>
      <c r="C116">
        <v>-122586.73595305148</v>
      </c>
    </row>
    <row r="117" spans="1:3">
      <c r="A117">
        <v>88</v>
      </c>
      <c r="B117">
        <v>713616.41236622375</v>
      </c>
      <c r="C117">
        <v>26236.167633776204</v>
      </c>
    </row>
    <row r="118" spans="1:3">
      <c r="A118">
        <v>89</v>
      </c>
      <c r="B118">
        <v>556631.30514690722</v>
      </c>
      <c r="C118">
        <v>29675.914853092749</v>
      </c>
    </row>
    <row r="119" spans="1:3">
      <c r="A119">
        <v>90</v>
      </c>
      <c r="B119">
        <v>585396.72366589599</v>
      </c>
      <c r="C119">
        <v>540.75633410399314</v>
      </c>
    </row>
    <row r="120" spans="1:3">
      <c r="A120">
        <v>91</v>
      </c>
      <c r="B120">
        <v>684346.55082454823</v>
      </c>
      <c r="C120">
        <v>69126.999175451812</v>
      </c>
    </row>
    <row r="121" spans="1:3">
      <c r="A121">
        <v>92</v>
      </c>
      <c r="B121">
        <v>757929.82873262244</v>
      </c>
      <c r="C121">
        <v>80320.491267377511</v>
      </c>
    </row>
    <row r="122" spans="1:3">
      <c r="A122">
        <v>93</v>
      </c>
      <c r="B122">
        <v>611515.03792656388</v>
      </c>
      <c r="C122">
        <v>-3616.9179265638813</v>
      </c>
    </row>
    <row r="123" spans="1:3">
      <c r="A123">
        <v>94</v>
      </c>
      <c r="B123">
        <v>700341.86607231968</v>
      </c>
      <c r="C123">
        <v>-9228.2460723196855</v>
      </c>
    </row>
    <row r="124" spans="1:3">
      <c r="A124">
        <v>95</v>
      </c>
      <c r="B124">
        <v>664356.35769637604</v>
      </c>
      <c r="C124">
        <v>71153.042303623981</v>
      </c>
    </row>
    <row r="125" spans="1:3">
      <c r="A125">
        <v>96</v>
      </c>
      <c r="B125">
        <v>655870.04965468915</v>
      </c>
      <c r="C125">
        <v>19307.630345310899</v>
      </c>
    </row>
    <row r="126" spans="1:3">
      <c r="A126">
        <v>97</v>
      </c>
      <c r="B126">
        <v>599584.31555332674</v>
      </c>
      <c r="C126">
        <v>35597.034446673235</v>
      </c>
    </row>
    <row r="127" spans="1:3">
      <c r="A127">
        <v>98</v>
      </c>
      <c r="B127">
        <v>633019.80587349937</v>
      </c>
      <c r="C127">
        <v>-46392.865873499424</v>
      </c>
    </row>
    <row r="128" spans="1:3">
      <c r="A128">
        <v>99</v>
      </c>
      <c r="B128">
        <v>718817.53660965397</v>
      </c>
      <c r="C128">
        <v>21285.103390346048</v>
      </c>
    </row>
    <row r="129" spans="1:3">
      <c r="A129">
        <v>100</v>
      </c>
      <c r="B129">
        <v>535916.16582248441</v>
      </c>
      <c r="C129">
        <v>89597.874177515623</v>
      </c>
    </row>
    <row r="130" spans="1:3">
      <c r="A130">
        <v>101</v>
      </c>
      <c r="B130">
        <v>693075.99202164717</v>
      </c>
      <c r="C130">
        <v>34151.207978352788</v>
      </c>
    </row>
    <row r="131" spans="1:3">
      <c r="A131">
        <v>102</v>
      </c>
      <c r="B131">
        <v>785927.87197864836</v>
      </c>
      <c r="C131">
        <v>-2129.9819786483422</v>
      </c>
    </row>
    <row r="132" spans="1:3">
      <c r="A132">
        <v>103</v>
      </c>
      <c r="B132">
        <v>721661.7992398612</v>
      </c>
      <c r="C132">
        <v>73492.040760138771</v>
      </c>
    </row>
    <row r="133" spans="1:3">
      <c r="A133">
        <v>104</v>
      </c>
      <c r="B133">
        <v>666096.5917434328</v>
      </c>
      <c r="C133">
        <v>-501.65174343285616</v>
      </c>
    </row>
    <row r="134" spans="1:3">
      <c r="A134">
        <v>105</v>
      </c>
      <c r="B134">
        <v>686966.09098784113</v>
      </c>
      <c r="C134">
        <v>22512.299012158881</v>
      </c>
    </row>
    <row r="135" spans="1:3">
      <c r="A135">
        <v>106</v>
      </c>
      <c r="B135">
        <v>666835.85513683967</v>
      </c>
      <c r="C135">
        <v>-2673.3651368396822</v>
      </c>
    </row>
    <row r="136" spans="1:3">
      <c r="A136">
        <v>107</v>
      </c>
      <c r="B136">
        <v>661569.18804643676</v>
      </c>
      <c r="C136">
        <v>-28074.978046436794</v>
      </c>
    </row>
    <row r="137" spans="1:3">
      <c r="A137">
        <v>108</v>
      </c>
      <c r="B137">
        <v>614209.76161517226</v>
      </c>
      <c r="C137">
        <v>99401.398384827771</v>
      </c>
    </row>
    <row r="138" spans="1:3">
      <c r="A138">
        <v>109</v>
      </c>
      <c r="B138">
        <v>745109.87729422422</v>
      </c>
      <c r="C138">
        <v>33288.092705775751</v>
      </c>
    </row>
    <row r="139" spans="1:3">
      <c r="A139">
        <v>110</v>
      </c>
      <c r="B139">
        <v>836167.2910354191</v>
      </c>
      <c r="C139">
        <v>37212.728964580921</v>
      </c>
    </row>
    <row r="140" spans="1:3">
      <c r="A140">
        <v>111</v>
      </c>
      <c r="B140">
        <v>755695.73314779275</v>
      </c>
      <c r="C140">
        <v>-58407.833147792728</v>
      </c>
    </row>
    <row r="141" spans="1:3">
      <c r="A141">
        <v>112</v>
      </c>
      <c r="B141">
        <v>759363.61825781106</v>
      </c>
      <c r="C141">
        <v>-41288.828257811023</v>
      </c>
    </row>
    <row r="142" spans="1:3">
      <c r="A142">
        <v>113</v>
      </c>
      <c r="B142">
        <v>701928.71696398768</v>
      </c>
      <c r="C142">
        <v>13013.71303601237</v>
      </c>
    </row>
    <row r="143" spans="1:3">
      <c r="A143">
        <v>114</v>
      </c>
      <c r="B143">
        <v>718718.92322830041</v>
      </c>
      <c r="C143">
        <v>101800.11677169963</v>
      </c>
    </row>
    <row r="144" spans="1:3">
      <c r="A144">
        <v>115</v>
      </c>
      <c r="B144">
        <v>740341.03687299986</v>
      </c>
      <c r="C144">
        <v>-56123.71687299991</v>
      </c>
    </row>
    <row r="145" spans="1:3">
      <c r="A145">
        <v>116</v>
      </c>
      <c r="B145">
        <v>728516.67813208315</v>
      </c>
      <c r="C145">
        <v>6963.5118679167936</v>
      </c>
    </row>
    <row r="146" spans="1:3">
      <c r="A146">
        <v>117</v>
      </c>
      <c r="B146">
        <v>560333.04307916819</v>
      </c>
      <c r="C146">
        <v>-50848.233079168189</v>
      </c>
    </row>
    <row r="147" spans="1:3">
      <c r="A147">
        <v>118</v>
      </c>
      <c r="B147">
        <v>619322.29759034805</v>
      </c>
      <c r="C147">
        <v>34994.792409651913</v>
      </c>
    </row>
    <row r="148" spans="1:3">
      <c r="A148">
        <v>119</v>
      </c>
      <c r="B148">
        <v>592530.53751606017</v>
      </c>
      <c r="C148">
        <v>-35043.27751606016</v>
      </c>
    </row>
    <row r="149" spans="1:3">
      <c r="A149">
        <v>120</v>
      </c>
      <c r="B149">
        <v>508355.87176421721</v>
      </c>
      <c r="C149">
        <v>-67080.451764217229</v>
      </c>
    </row>
    <row r="150" spans="1:3">
      <c r="A150">
        <v>121</v>
      </c>
      <c r="B150">
        <v>815549.17612506042</v>
      </c>
      <c r="C150">
        <v>98994.993874939624</v>
      </c>
    </row>
    <row r="151" spans="1:3">
      <c r="A151">
        <v>122</v>
      </c>
      <c r="B151">
        <v>848037.73104024935</v>
      </c>
      <c r="C151">
        <v>-5598.0610402493039</v>
      </c>
    </row>
    <row r="152" spans="1:3">
      <c r="A152">
        <v>123</v>
      </c>
      <c r="B152">
        <v>782324.75655674445</v>
      </c>
      <c r="C152">
        <v>59833.163443255587</v>
      </c>
    </row>
    <row r="153" spans="1:3">
      <c r="A153">
        <v>124</v>
      </c>
      <c r="B153">
        <v>695667.40031198889</v>
      </c>
      <c r="C153">
        <v>1487.8996880111517</v>
      </c>
    </row>
    <row r="154" spans="1:3">
      <c r="A154">
        <v>125</v>
      </c>
      <c r="B154">
        <v>829107.97180605878</v>
      </c>
      <c r="C154">
        <v>19910.32819394127</v>
      </c>
    </row>
    <row r="155" spans="1:3">
      <c r="A155">
        <v>126</v>
      </c>
      <c r="B155">
        <v>810479.72591979289</v>
      </c>
      <c r="C155">
        <v>-8649.3759197929176</v>
      </c>
    </row>
    <row r="156" spans="1:3">
      <c r="A156">
        <v>127</v>
      </c>
      <c r="B156">
        <v>793162.45839536632</v>
      </c>
      <c r="C156">
        <v>-67927.178395366296</v>
      </c>
    </row>
    <row r="157" spans="1:3">
      <c r="A157">
        <v>128</v>
      </c>
      <c r="B157">
        <v>827181.15245400567</v>
      </c>
      <c r="C157">
        <v>-15728.432454005699</v>
      </c>
    </row>
    <row r="158" spans="1:3">
      <c r="A158">
        <v>129</v>
      </c>
      <c r="B158">
        <v>578156.46262330795</v>
      </c>
      <c r="C158">
        <v>-50856.332623307942</v>
      </c>
    </row>
    <row r="159" spans="1:3">
      <c r="A159">
        <v>130</v>
      </c>
      <c r="B159">
        <v>598522.00612545107</v>
      </c>
      <c r="C159">
        <v>-5274.7561254510656</v>
      </c>
    </row>
    <row r="160" spans="1:3">
      <c r="A160">
        <v>131</v>
      </c>
      <c r="B160">
        <v>547439.51544701902</v>
      </c>
      <c r="C160">
        <v>-18363.565447019064</v>
      </c>
    </row>
    <row r="161" spans="1:3">
      <c r="A161">
        <v>132</v>
      </c>
      <c r="B161">
        <v>701048.44829069369</v>
      </c>
      <c r="C161">
        <v>42300.391709306277</v>
      </c>
    </row>
    <row r="162" spans="1:3">
      <c r="A162">
        <v>133</v>
      </c>
      <c r="B162">
        <v>687328.76864605234</v>
      </c>
      <c r="C162">
        <v>71498.871353947674</v>
      </c>
    </row>
    <row r="163" spans="1:3">
      <c r="A163">
        <v>134</v>
      </c>
      <c r="B163">
        <v>620507.55745077296</v>
      </c>
      <c r="C163">
        <v>26052.152549227001</v>
      </c>
    </row>
    <row r="164" spans="1:3">
      <c r="A164">
        <v>135</v>
      </c>
      <c r="B164">
        <v>672342.19501447224</v>
      </c>
      <c r="C164">
        <v>43548.334985527792</v>
      </c>
    </row>
    <row r="165" spans="1:3">
      <c r="A165">
        <v>136</v>
      </c>
      <c r="B165">
        <v>690468.45711235562</v>
      </c>
      <c r="C165">
        <v>24629.112887644325</v>
      </c>
    </row>
    <row r="166" spans="1:3">
      <c r="A166">
        <v>137</v>
      </c>
      <c r="B166">
        <v>636528.27801930706</v>
      </c>
      <c r="C166">
        <v>46111.001980692963</v>
      </c>
    </row>
    <row r="167" spans="1:3">
      <c r="A167">
        <v>138</v>
      </c>
      <c r="B167">
        <v>674497.72956086358</v>
      </c>
      <c r="C167">
        <v>20600.780439136433</v>
      </c>
    </row>
    <row r="168" spans="1:3">
      <c r="A168">
        <v>139</v>
      </c>
      <c r="B168">
        <v>613164.52785295167</v>
      </c>
      <c r="C168">
        <v>-35431.957852951717</v>
      </c>
    </row>
    <row r="169" spans="1:3">
      <c r="A169">
        <v>140</v>
      </c>
      <c r="B169">
        <v>561289.06447251223</v>
      </c>
      <c r="C169">
        <v>-24230.734472512268</v>
      </c>
    </row>
    <row r="170" spans="1:3">
      <c r="A170">
        <v>141</v>
      </c>
      <c r="B170">
        <v>601349.79518408829</v>
      </c>
      <c r="C170">
        <v>219.07481591170654</v>
      </c>
    </row>
    <row r="171" spans="1:3">
      <c r="A171">
        <v>142</v>
      </c>
      <c r="B171">
        <v>566614.86320970219</v>
      </c>
      <c r="C171">
        <v>4349.9767902977765</v>
      </c>
    </row>
    <row r="172" spans="1:3">
      <c r="A172">
        <v>143</v>
      </c>
      <c r="B172">
        <v>645005.53360447707</v>
      </c>
      <c r="C172">
        <v>-30980.623604477034</v>
      </c>
    </row>
    <row r="173" spans="1:3">
      <c r="A173">
        <v>144</v>
      </c>
      <c r="B173">
        <v>707735.00637125969</v>
      </c>
      <c r="C173">
        <v>5133.3436287402874</v>
      </c>
    </row>
    <row r="174" spans="1:3">
      <c r="A174">
        <v>145</v>
      </c>
      <c r="B174">
        <v>667021.49107542774</v>
      </c>
      <c r="C174">
        <v>29722.658924572286</v>
      </c>
    </row>
    <row r="175" spans="1:3">
      <c r="A175">
        <v>146</v>
      </c>
      <c r="B175">
        <v>706183.83878096892</v>
      </c>
      <c r="C175">
        <v>19664.151219031075</v>
      </c>
    </row>
    <row r="176" spans="1:3">
      <c r="A176">
        <v>147</v>
      </c>
      <c r="B176">
        <v>805820.61505292659</v>
      </c>
      <c r="C176">
        <v>-20792.365052926587</v>
      </c>
    </row>
    <row r="177" spans="1:3">
      <c r="A177">
        <v>148</v>
      </c>
      <c r="B177">
        <v>692865.68261168257</v>
      </c>
      <c r="C177">
        <v>5626.9873883174732</v>
      </c>
    </row>
    <row r="178" spans="1:3">
      <c r="A178">
        <v>149</v>
      </c>
      <c r="B178">
        <v>733252.1280535293</v>
      </c>
      <c r="C178">
        <v>-47421.888053529314</v>
      </c>
    </row>
    <row r="179" spans="1:3">
      <c r="A179">
        <v>150</v>
      </c>
      <c r="B179">
        <v>708376.66703561961</v>
      </c>
      <c r="C179">
        <v>-6057.7270356196677</v>
      </c>
    </row>
    <row r="180" spans="1:3">
      <c r="A180">
        <v>151</v>
      </c>
      <c r="B180">
        <v>714873.19462073757</v>
      </c>
      <c r="C180">
        <v>-14794.874620737624</v>
      </c>
    </row>
    <row r="181" spans="1:3">
      <c r="A181">
        <v>152</v>
      </c>
      <c r="B181">
        <v>646065.74888768769</v>
      </c>
      <c r="C181">
        <v>-44063.42888768774</v>
      </c>
    </row>
    <row r="182" spans="1:3">
      <c r="A182">
        <v>153</v>
      </c>
      <c r="B182">
        <v>667939.20491235249</v>
      </c>
      <c r="C182">
        <v>56276.865087647457</v>
      </c>
    </row>
    <row r="183" spans="1:3">
      <c r="A183">
        <v>154</v>
      </c>
      <c r="B183">
        <v>576082.97068719636</v>
      </c>
      <c r="C183">
        <v>44890.059312803671</v>
      </c>
    </row>
    <row r="184" spans="1:3">
      <c r="A184">
        <v>155</v>
      </c>
      <c r="B184">
        <v>698907.92271919607</v>
      </c>
      <c r="C184">
        <v>-48427.862719196011</v>
      </c>
    </row>
    <row r="185" spans="1:3">
      <c r="A185">
        <v>156</v>
      </c>
      <c r="B185">
        <v>694145.68444766034</v>
      </c>
      <c r="C185">
        <v>84153.195552339661</v>
      </c>
    </row>
    <row r="186" spans="1:3">
      <c r="A186">
        <v>157</v>
      </c>
      <c r="B186">
        <v>692337.43840997247</v>
      </c>
      <c r="C186">
        <v>-328.79840997245628</v>
      </c>
    </row>
    <row r="187" spans="1:3">
      <c r="A187">
        <v>158</v>
      </c>
      <c r="B187">
        <v>788382.78479366447</v>
      </c>
      <c r="C187">
        <v>37415.125206335564</v>
      </c>
    </row>
    <row r="188" spans="1:3">
      <c r="A188">
        <v>159</v>
      </c>
      <c r="B188">
        <v>736421.91434277792</v>
      </c>
      <c r="C188">
        <v>-30136.394342777901</v>
      </c>
    </row>
    <row r="189" spans="1:3">
      <c r="A189">
        <v>160</v>
      </c>
      <c r="B189">
        <v>680475.62246365193</v>
      </c>
      <c r="C189">
        <v>-14940.922463651979</v>
      </c>
    </row>
    <row r="190" spans="1:3">
      <c r="A190">
        <v>161</v>
      </c>
      <c r="B190">
        <v>817804.63234630751</v>
      </c>
      <c r="C190">
        <v>2924.6576536925277</v>
      </c>
    </row>
    <row r="191" spans="1:3">
      <c r="A191">
        <v>162</v>
      </c>
      <c r="B191">
        <v>764445.16443857085</v>
      </c>
      <c r="C191">
        <v>-24613.434438570868</v>
      </c>
    </row>
    <row r="192" spans="1:3">
      <c r="A192">
        <v>163</v>
      </c>
      <c r="B192">
        <v>661120.44939569815</v>
      </c>
      <c r="C192">
        <v>-67483.309395698132</v>
      </c>
    </row>
    <row r="193" spans="1:3">
      <c r="A193">
        <v>164</v>
      </c>
      <c r="B193">
        <v>730083.35168475052</v>
      </c>
      <c r="C193">
        <v>39619.408315249486</v>
      </c>
    </row>
    <row r="194" spans="1:3">
      <c r="A194">
        <v>165</v>
      </c>
      <c r="B194">
        <v>685133.35284974158</v>
      </c>
      <c r="C194">
        <v>-5401.782849741634</v>
      </c>
    </row>
    <row r="195" spans="1:3">
      <c r="A195">
        <v>166</v>
      </c>
      <c r="B195">
        <v>767903.27831607498</v>
      </c>
      <c r="C195">
        <v>12440.901683925069</v>
      </c>
    </row>
    <row r="196" spans="1:3">
      <c r="A196">
        <v>167</v>
      </c>
      <c r="B196">
        <v>751872.8610456977</v>
      </c>
      <c r="C196">
        <v>-30508.751045697718</v>
      </c>
    </row>
    <row r="197" spans="1:3">
      <c r="A197">
        <v>168</v>
      </c>
      <c r="B197">
        <v>777443.59544303152</v>
      </c>
      <c r="C197">
        <v>-19305.305443031481</v>
      </c>
    </row>
    <row r="198" spans="1:3">
      <c r="A198">
        <v>169</v>
      </c>
      <c r="B198">
        <v>819701.86992417264</v>
      </c>
      <c r="C198">
        <v>-15437.869924172643</v>
      </c>
    </row>
    <row r="199" spans="1:3">
      <c r="A199">
        <v>170</v>
      </c>
      <c r="B199">
        <v>878227.68246941536</v>
      </c>
      <c r="C199">
        <v>9310.067530584638</v>
      </c>
    </row>
    <row r="200" spans="1:3">
      <c r="A200">
        <v>171</v>
      </c>
      <c r="B200">
        <v>725612.12415129424</v>
      </c>
      <c r="C200">
        <v>57969.875848705764</v>
      </c>
    </row>
    <row r="201" spans="1:3">
      <c r="A201">
        <v>172</v>
      </c>
      <c r="B201">
        <v>758069.89067171025</v>
      </c>
      <c r="C201">
        <v>23885.629328289768</v>
      </c>
    </row>
    <row r="202" spans="1:3">
      <c r="A202">
        <v>173</v>
      </c>
      <c r="B202">
        <v>844923.93443518423</v>
      </c>
      <c r="C202">
        <v>53107.105564815807</v>
      </c>
    </row>
    <row r="203" spans="1:3">
      <c r="A203">
        <v>174</v>
      </c>
      <c r="B203">
        <v>838414.79310460796</v>
      </c>
      <c r="C203">
        <v>16926.486895392067</v>
      </c>
    </row>
    <row r="204" spans="1:3">
      <c r="A204">
        <v>175</v>
      </c>
      <c r="B204">
        <v>739742.8079777956</v>
      </c>
      <c r="C204">
        <v>11651.072022204404</v>
      </c>
    </row>
    <row r="205" spans="1:3">
      <c r="A205">
        <v>176</v>
      </c>
      <c r="B205">
        <v>750649.6557382344</v>
      </c>
      <c r="C205">
        <v>10427.424261765555</v>
      </c>
    </row>
    <row r="206" spans="1:3">
      <c r="A206">
        <v>177</v>
      </c>
      <c r="B206">
        <v>814184.97185514064</v>
      </c>
      <c r="C206">
        <v>5475.618144859327</v>
      </c>
    </row>
    <row r="207" spans="1:3">
      <c r="A207">
        <v>178</v>
      </c>
      <c r="B207">
        <v>698972.65992512158</v>
      </c>
      <c r="C207">
        <v>-17117.099925121525</v>
      </c>
    </row>
    <row r="208" spans="1:3">
      <c r="A208">
        <v>179</v>
      </c>
      <c r="B208">
        <v>658841.25606021821</v>
      </c>
      <c r="C208">
        <v>19469.913939781836</v>
      </c>
    </row>
    <row r="209" spans="1:3">
      <c r="A209">
        <v>180</v>
      </c>
      <c r="B209">
        <v>700686.45146025741</v>
      </c>
      <c r="C209">
        <v>65220.498539742548</v>
      </c>
    </row>
    <row r="210" spans="1:3">
      <c r="A210">
        <v>181</v>
      </c>
      <c r="B210">
        <v>707976.83735562186</v>
      </c>
      <c r="C210">
        <v>4569.5426443781471</v>
      </c>
    </row>
    <row r="211" spans="1:3">
      <c r="A211">
        <v>182</v>
      </c>
      <c r="B211">
        <v>591000.60776892141</v>
      </c>
      <c r="C211">
        <v>34993.222231078544</v>
      </c>
    </row>
    <row r="212" spans="1:3">
      <c r="A212">
        <v>183</v>
      </c>
      <c r="B212">
        <v>546380.15799572121</v>
      </c>
      <c r="C212">
        <v>4582.7720042788424</v>
      </c>
    </row>
    <row r="213" spans="1:3">
      <c r="A213">
        <v>184</v>
      </c>
      <c r="B213">
        <v>469378.72159407369</v>
      </c>
      <c r="C213">
        <v>-26103.131594073668</v>
      </c>
    </row>
    <row r="214" spans="1:3">
      <c r="A214">
        <v>185</v>
      </c>
      <c r="B214">
        <v>608866.98336882412</v>
      </c>
      <c r="C214">
        <v>-54854.913368824171</v>
      </c>
    </row>
    <row r="215" spans="1:3">
      <c r="A215">
        <v>186</v>
      </c>
      <c r="B215">
        <v>682478.65520740533</v>
      </c>
      <c r="C215">
        <v>-39049.805207405356</v>
      </c>
    </row>
    <row r="216" spans="1:3">
      <c r="A216">
        <v>187</v>
      </c>
      <c r="B216">
        <v>613727.78734710068</v>
      </c>
      <c r="C216">
        <v>-1803.5173471006565</v>
      </c>
    </row>
    <row r="217" spans="1:3">
      <c r="A217">
        <v>188</v>
      </c>
      <c r="B217">
        <v>549528.99672817404</v>
      </c>
      <c r="C217">
        <v>9893.0232718259795</v>
      </c>
    </row>
    <row r="218" spans="1:3">
      <c r="A218">
        <v>189</v>
      </c>
      <c r="B218">
        <v>635146.84064789535</v>
      </c>
      <c r="C218">
        <v>56300.589352104696</v>
      </c>
    </row>
    <row r="219" spans="1:3">
      <c r="A219">
        <v>190</v>
      </c>
      <c r="B219">
        <v>596791.64076289325</v>
      </c>
      <c r="C219">
        <v>-22725.030762893264</v>
      </c>
    </row>
    <row r="220" spans="1:3">
      <c r="A220">
        <v>191</v>
      </c>
      <c r="B220">
        <v>605824.49687377166</v>
      </c>
      <c r="C220">
        <v>-26874.656873771688</v>
      </c>
    </row>
    <row r="221" spans="1:3">
      <c r="A221">
        <v>192</v>
      </c>
      <c r="B221">
        <v>644356.17051666684</v>
      </c>
      <c r="C221">
        <v>91430.469483333174</v>
      </c>
    </row>
    <row r="222" spans="1:3">
      <c r="A222">
        <v>193</v>
      </c>
      <c r="B222">
        <v>631845.77084786957</v>
      </c>
      <c r="C222">
        <v>-32940.870847869548</v>
      </c>
    </row>
    <row r="223" spans="1:3">
      <c r="A223">
        <v>194</v>
      </c>
      <c r="B223">
        <v>711019.63093116647</v>
      </c>
      <c r="C223">
        <v>76695.879068833543</v>
      </c>
    </row>
    <row r="224" spans="1:3">
      <c r="A224">
        <v>195</v>
      </c>
      <c r="B224">
        <v>668804.39456946938</v>
      </c>
      <c r="C224">
        <v>-61719.474569469341</v>
      </c>
    </row>
    <row r="225" spans="1:3">
      <c r="A225">
        <v>196</v>
      </c>
      <c r="B225">
        <v>695828.83471780107</v>
      </c>
      <c r="C225">
        <v>-45033.344717801083</v>
      </c>
    </row>
    <row r="226" spans="1:3">
      <c r="A226">
        <v>197</v>
      </c>
      <c r="B226">
        <v>849705.79022136983</v>
      </c>
      <c r="C226">
        <v>-24645.270221369807</v>
      </c>
    </row>
    <row r="227" spans="1:3">
      <c r="A227">
        <v>198</v>
      </c>
      <c r="B227">
        <v>751008.06293025112</v>
      </c>
      <c r="C227">
        <v>44456.40706974885</v>
      </c>
    </row>
    <row r="228" spans="1:3">
      <c r="A228">
        <v>199</v>
      </c>
      <c r="B228">
        <v>747822.42326701304</v>
      </c>
      <c r="C228">
        <v>-75953.833267013077</v>
      </c>
    </row>
    <row r="229" spans="1:3">
      <c r="A229">
        <v>200</v>
      </c>
      <c r="B229">
        <v>766429.36474685138</v>
      </c>
      <c r="C229">
        <v>-90511.734746851376</v>
      </c>
    </row>
    <row r="230" spans="1:3">
      <c r="A230">
        <v>201</v>
      </c>
      <c r="B230">
        <v>805526.80431256292</v>
      </c>
      <c r="C230">
        <v>4919.7256874371087</v>
      </c>
    </row>
    <row r="231" spans="1:3">
      <c r="A231">
        <v>202</v>
      </c>
      <c r="B231">
        <v>776479.33177838486</v>
      </c>
      <c r="C231">
        <v>-85191.141778384917</v>
      </c>
    </row>
    <row r="232" spans="1:3">
      <c r="A232">
        <v>203</v>
      </c>
      <c r="B232">
        <v>963494.91362849949</v>
      </c>
      <c r="C232">
        <v>-16661.373628499452</v>
      </c>
    </row>
    <row r="233" spans="1:3">
      <c r="A233">
        <v>204</v>
      </c>
      <c r="B233">
        <v>776511.01297756133</v>
      </c>
      <c r="C233">
        <v>-14547.78297756135</v>
      </c>
    </row>
    <row r="234" spans="1:3">
      <c r="A234">
        <v>205</v>
      </c>
      <c r="B234">
        <v>763220.94246572384</v>
      </c>
      <c r="C234">
        <v>48931.657534276135</v>
      </c>
    </row>
    <row r="235" spans="1:3">
      <c r="A235">
        <v>206</v>
      </c>
      <c r="B235">
        <v>753198.47956761403</v>
      </c>
      <c r="C235">
        <v>51777.020432385965</v>
      </c>
    </row>
    <row r="236" spans="1:3">
      <c r="A236">
        <v>207</v>
      </c>
      <c r="B236">
        <v>744712.63008406351</v>
      </c>
      <c r="C236">
        <v>7609.0899159364635</v>
      </c>
    </row>
    <row r="237" spans="1:3">
      <c r="A237">
        <v>208</v>
      </c>
      <c r="B237">
        <v>813139.24481407658</v>
      </c>
      <c r="C237">
        <v>23768.995185923413</v>
      </c>
    </row>
    <row r="238" spans="1:3">
      <c r="A238">
        <v>209</v>
      </c>
      <c r="B238">
        <v>664233.80825118988</v>
      </c>
      <c r="C238">
        <v>10055.291748810094</v>
      </c>
    </row>
    <row r="239" spans="1:3">
      <c r="A239">
        <v>210</v>
      </c>
      <c r="B239">
        <v>642975.05583208892</v>
      </c>
      <c r="C239">
        <v>-20082.635832088883</v>
      </c>
    </row>
    <row r="240" spans="1:3">
      <c r="A240">
        <v>211</v>
      </c>
      <c r="B240">
        <v>643329.0875066818</v>
      </c>
      <c r="C240">
        <v>30019.472493318259</v>
      </c>
    </row>
    <row r="241" spans="1:3">
      <c r="A241">
        <v>212</v>
      </c>
      <c r="B241">
        <v>615718.00448254566</v>
      </c>
      <c r="C241">
        <v>-9439.7044825456105</v>
      </c>
    </row>
    <row r="242" spans="1:3">
      <c r="A242">
        <v>213</v>
      </c>
      <c r="B242">
        <v>708823.35531472869</v>
      </c>
      <c r="C242">
        <v>3396.4546852713684</v>
      </c>
    </row>
    <row r="243" spans="1:3">
      <c r="A243">
        <v>214</v>
      </c>
      <c r="B243">
        <v>680767.64604556793</v>
      </c>
      <c r="C243">
        <v>-8097.1060455678962</v>
      </c>
    </row>
    <row r="244" spans="1:3">
      <c r="A244">
        <v>215</v>
      </c>
      <c r="B244">
        <v>743986.12776992621</v>
      </c>
      <c r="C244">
        <v>-11318.207769926172</v>
      </c>
    </row>
    <row r="245" spans="1:3">
      <c r="A245">
        <v>216</v>
      </c>
      <c r="B245">
        <v>764448.73436352052</v>
      </c>
      <c r="C245">
        <v>-40917.334363520495</v>
      </c>
    </row>
    <row r="246" spans="1:3">
      <c r="A246">
        <v>217</v>
      </c>
      <c r="B246">
        <v>628002.15951574442</v>
      </c>
      <c r="C246">
        <v>13562.440484255552</v>
      </c>
    </row>
    <row r="247" spans="1:3">
      <c r="A247">
        <v>218</v>
      </c>
      <c r="B247">
        <v>543331.23199000163</v>
      </c>
      <c r="C247">
        <v>-6785.7419900016394</v>
      </c>
    </row>
    <row r="248" spans="1:3">
      <c r="A248">
        <v>219</v>
      </c>
      <c r="B248">
        <v>571815.46592255123</v>
      </c>
      <c r="C248">
        <v>-44133.905922551174</v>
      </c>
    </row>
    <row r="249" spans="1:3">
      <c r="A249">
        <v>220</v>
      </c>
      <c r="B249">
        <v>631661.17197061912</v>
      </c>
      <c r="C249">
        <v>-60697.861970619066</v>
      </c>
    </row>
    <row r="250" spans="1:3">
      <c r="A250">
        <v>221</v>
      </c>
      <c r="B250">
        <v>823093.49804804067</v>
      </c>
      <c r="C250">
        <v>47843.901951959357</v>
      </c>
    </row>
    <row r="251" spans="1:3">
      <c r="A251">
        <v>222</v>
      </c>
      <c r="B251">
        <v>642235.02679334197</v>
      </c>
      <c r="C251">
        <v>-45265.756793341949</v>
      </c>
    </row>
    <row r="252" spans="1:3">
      <c r="A252">
        <v>223</v>
      </c>
      <c r="B252">
        <v>598953.23644144333</v>
      </c>
      <c r="C252">
        <v>59118.903558556689</v>
      </c>
    </row>
    <row r="253" spans="1:3">
      <c r="A253">
        <v>224</v>
      </c>
      <c r="B253">
        <v>633824.25338194042</v>
      </c>
      <c r="C253">
        <v>89480.856618059566</v>
      </c>
    </row>
    <row r="254" spans="1:3">
      <c r="A254">
        <v>225</v>
      </c>
      <c r="B254">
        <v>617214.17050372774</v>
      </c>
      <c r="C254">
        <v>23452.359496272285</v>
      </c>
    </row>
    <row r="255" spans="1:3">
      <c r="A255">
        <v>226</v>
      </c>
      <c r="B255">
        <v>654868.58348810102</v>
      </c>
      <c r="C255">
        <v>15760.896511898958</v>
      </c>
    </row>
    <row r="256" spans="1:3">
      <c r="A256">
        <v>227</v>
      </c>
      <c r="B256">
        <v>796642.02137370058</v>
      </c>
      <c r="C256">
        <v>-75562.671373700607</v>
      </c>
    </row>
    <row r="257" spans="1:3">
      <c r="A257">
        <v>228</v>
      </c>
      <c r="B257">
        <v>829782.09472956462</v>
      </c>
      <c r="C257">
        <v>-19427.0747295646</v>
      </c>
    </row>
    <row r="258" spans="1:3">
      <c r="A258">
        <v>229</v>
      </c>
      <c r="B258">
        <v>780008.72435132682</v>
      </c>
      <c r="C258">
        <v>-18089.474351326819</v>
      </c>
    </row>
    <row r="259" spans="1:3">
      <c r="A259">
        <v>230</v>
      </c>
      <c r="B259">
        <v>736536.43504604232</v>
      </c>
      <c r="C259">
        <v>533.74495395773556</v>
      </c>
    </row>
    <row r="260" spans="1:3">
      <c r="A260">
        <v>231</v>
      </c>
      <c r="B260">
        <v>762255.2343603163</v>
      </c>
      <c r="C260">
        <v>14737.695639683749</v>
      </c>
    </row>
    <row r="261" spans="1:3">
      <c r="A261">
        <v>232</v>
      </c>
      <c r="B261">
        <v>659837.69181892846</v>
      </c>
      <c r="C261">
        <v>16499.71818107157</v>
      </c>
    </row>
    <row r="262" spans="1:3">
      <c r="A262">
        <v>233</v>
      </c>
      <c r="B262">
        <v>828915.65703349968</v>
      </c>
      <c r="C262">
        <v>-695.98703349963762</v>
      </c>
    </row>
    <row r="263" spans="1:3">
      <c r="A263">
        <v>234</v>
      </c>
      <c r="B263">
        <v>768972.60618215823</v>
      </c>
      <c r="C263">
        <v>-5812.6861821581842</v>
      </c>
    </row>
    <row r="264" spans="1:3">
      <c r="A264">
        <v>235</v>
      </c>
      <c r="B264">
        <v>792833.14538522903</v>
      </c>
      <c r="C264">
        <v>9168.5346147710225</v>
      </c>
    </row>
    <row r="265" spans="1:3">
      <c r="A265">
        <v>236</v>
      </c>
      <c r="B265">
        <v>749036.37450681708</v>
      </c>
      <c r="C265">
        <v>1434.9654931828845</v>
      </c>
    </row>
    <row r="266" spans="1:3">
      <c r="A266">
        <v>237</v>
      </c>
      <c r="B266">
        <v>719782.32026645436</v>
      </c>
      <c r="C266">
        <v>-40551.460266454378</v>
      </c>
    </row>
    <row r="267" spans="1:3">
      <c r="A267">
        <v>238</v>
      </c>
      <c r="B267">
        <v>698729.68401795346</v>
      </c>
      <c r="C267">
        <v>-18840.944017953472</v>
      </c>
    </row>
    <row r="268" spans="1:3">
      <c r="A268">
        <v>239</v>
      </c>
      <c r="B268">
        <v>655185.98211804789</v>
      </c>
      <c r="C268">
        <v>-12434.562118047848</v>
      </c>
    </row>
    <row r="269" spans="1:3">
      <c r="A269">
        <v>240</v>
      </c>
      <c r="B269">
        <v>652333.87616259349</v>
      </c>
      <c r="C269">
        <v>-4380.0961625934578</v>
      </c>
    </row>
    <row r="270" spans="1:3">
      <c r="A270">
        <v>241</v>
      </c>
      <c r="B270">
        <v>712623.62382614962</v>
      </c>
      <c r="C270">
        <v>16816.826173850335</v>
      </c>
    </row>
    <row r="271" spans="1:3">
      <c r="A271">
        <v>242</v>
      </c>
      <c r="B271">
        <v>771988.28610840347</v>
      </c>
      <c r="C271">
        <v>-7039.2861084034666</v>
      </c>
    </row>
    <row r="272" spans="1:3">
      <c r="A272">
        <v>243</v>
      </c>
      <c r="B272">
        <v>725775.48423950304</v>
      </c>
      <c r="C272">
        <v>73271.455760496901</v>
      </c>
    </row>
    <row r="273" spans="1:3">
      <c r="A273">
        <v>244</v>
      </c>
      <c r="B273">
        <v>694226.28151095391</v>
      </c>
      <c r="C273">
        <v>25853.258489046129</v>
      </c>
    </row>
    <row r="274" spans="1:3">
      <c r="A274">
        <v>245</v>
      </c>
      <c r="B274">
        <v>654390.29968304955</v>
      </c>
      <c r="C274">
        <v>-42000.15968304954</v>
      </c>
    </row>
    <row r="275" spans="1:3">
      <c r="A275">
        <v>246</v>
      </c>
      <c r="B275">
        <v>755500.33870164491</v>
      </c>
      <c r="C275">
        <v>84607.781298355083</v>
      </c>
    </row>
    <row r="276" spans="1:3">
      <c r="A276">
        <v>247</v>
      </c>
      <c r="B276">
        <v>678036.65108006832</v>
      </c>
      <c r="C276">
        <v>19851.43891993165</v>
      </c>
    </row>
    <row r="277" spans="1:3">
      <c r="A277">
        <v>248</v>
      </c>
      <c r="B277">
        <v>745664.60603460018</v>
      </c>
      <c r="C277">
        <v>450.98396539979149</v>
      </c>
    </row>
    <row r="278" spans="1:3">
      <c r="A278">
        <v>249</v>
      </c>
      <c r="B278">
        <v>725577.43164912751</v>
      </c>
      <c r="C278">
        <v>50532.888350872439</v>
      </c>
    </row>
    <row r="279" spans="1:3">
      <c r="A279">
        <v>250</v>
      </c>
      <c r="B279">
        <v>519789.69328060705</v>
      </c>
      <c r="C279">
        <v>9062.9267193929409</v>
      </c>
    </row>
    <row r="280" spans="1:3">
      <c r="A280">
        <v>251</v>
      </c>
      <c r="B280">
        <v>606455.05324480799</v>
      </c>
      <c r="C280">
        <v>71185.596755192033</v>
      </c>
    </row>
    <row r="281" spans="1:3">
      <c r="A281">
        <v>252</v>
      </c>
      <c r="B281">
        <v>614429.57159507775</v>
      </c>
      <c r="C281">
        <v>22183.658404922229</v>
      </c>
    </row>
    <row r="282" spans="1:3">
      <c r="A282">
        <v>253</v>
      </c>
      <c r="B282">
        <v>731475.68082217325</v>
      </c>
      <c r="C282">
        <v>-22490.490822173306</v>
      </c>
    </row>
    <row r="283" spans="1:3">
      <c r="A283">
        <v>254</v>
      </c>
      <c r="B283">
        <v>745009.86183745437</v>
      </c>
      <c r="C283">
        <v>22783.078162545571</v>
      </c>
    </row>
    <row r="284" spans="1:3">
      <c r="A284">
        <v>255</v>
      </c>
      <c r="B284">
        <v>728782.82951846754</v>
      </c>
      <c r="C284">
        <v>16797.680481532472</v>
      </c>
    </row>
    <row r="285" spans="1:3">
      <c r="A285">
        <v>256</v>
      </c>
      <c r="B285">
        <v>730564.12125356949</v>
      </c>
      <c r="C285">
        <v>31764.188746430562</v>
      </c>
    </row>
    <row r="286" spans="1:3">
      <c r="A286">
        <v>257</v>
      </c>
      <c r="B286">
        <v>752748.61168047227</v>
      </c>
      <c r="C286">
        <v>-92114.621680472279</v>
      </c>
    </row>
    <row r="287" spans="1:3">
      <c r="A287">
        <v>258</v>
      </c>
      <c r="B287">
        <v>705498.96911529533</v>
      </c>
      <c r="C287">
        <v>33875.590884704725</v>
      </c>
    </row>
    <row r="288" spans="1:3">
      <c r="A288">
        <v>259</v>
      </c>
      <c r="B288">
        <v>819188.74063591904</v>
      </c>
      <c r="C288">
        <v>-19432.280635919073</v>
      </c>
    </row>
    <row r="289" spans="1:3">
      <c r="A289">
        <v>260</v>
      </c>
      <c r="B289">
        <v>684594.81319645606</v>
      </c>
      <c r="C289">
        <v>-91251.81319645606</v>
      </c>
    </row>
    <row r="290" spans="1:3">
      <c r="A290">
        <v>261</v>
      </c>
      <c r="B290">
        <v>637286.67864649196</v>
      </c>
      <c r="C290">
        <v>7753.2913535080152</v>
      </c>
    </row>
    <row r="291" spans="1:3">
      <c r="A291">
        <v>262</v>
      </c>
      <c r="B291">
        <v>526405.65864615736</v>
      </c>
      <c r="C291">
        <v>35191.671353842597</v>
      </c>
    </row>
    <row r="292" spans="1:3">
      <c r="A292">
        <v>263</v>
      </c>
      <c r="B292">
        <v>648606.47836507903</v>
      </c>
      <c r="C292">
        <v>-12768.738365079043</v>
      </c>
    </row>
    <row r="293" spans="1:3">
      <c r="A293">
        <v>264</v>
      </c>
      <c r="B293">
        <v>606777.43802041211</v>
      </c>
      <c r="C293">
        <v>79960.431979587884</v>
      </c>
    </row>
    <row r="294" spans="1:3">
      <c r="A294">
        <v>265</v>
      </c>
      <c r="B294">
        <v>737769.10501200985</v>
      </c>
      <c r="C294">
        <v>-64692.765012009884</v>
      </c>
    </row>
    <row r="295" spans="1:3">
      <c r="A295">
        <v>266</v>
      </c>
      <c r="B295">
        <v>693322.2218987922</v>
      </c>
      <c r="C295">
        <v>45226.198101207847</v>
      </c>
    </row>
    <row r="296" spans="1:3">
      <c r="A296">
        <v>267</v>
      </c>
      <c r="B296">
        <v>745262.18220761651</v>
      </c>
      <c r="C296">
        <v>11357.587792383507</v>
      </c>
    </row>
    <row r="297" spans="1:3">
      <c r="A297">
        <v>268</v>
      </c>
      <c r="B297">
        <v>764901.47159190394</v>
      </c>
      <c r="C297">
        <v>-3779.0515919039026</v>
      </c>
    </row>
    <row r="298" spans="1:3">
      <c r="A298">
        <v>269</v>
      </c>
      <c r="B298">
        <v>568409.50415218598</v>
      </c>
      <c r="C298">
        <v>-43509.934152186033</v>
      </c>
    </row>
    <row r="299" spans="1:3">
      <c r="A299">
        <v>270</v>
      </c>
      <c r="B299">
        <v>580591.59303764417</v>
      </c>
      <c r="C299">
        <v>-25033.82303764415</v>
      </c>
    </row>
    <row r="300" spans="1:3">
      <c r="A300">
        <v>271</v>
      </c>
      <c r="B300">
        <v>686775.28758253076</v>
      </c>
      <c r="C300">
        <v>27308.392417469295</v>
      </c>
    </row>
    <row r="301" spans="1:3">
      <c r="A301">
        <v>272</v>
      </c>
      <c r="B301">
        <v>496864.23254756961</v>
      </c>
      <c r="C301">
        <v>575.58745243039448</v>
      </c>
    </row>
    <row r="302" spans="1:3">
      <c r="A302">
        <v>273</v>
      </c>
      <c r="B302">
        <v>631858.36255810002</v>
      </c>
      <c r="C302">
        <v>4917.2974419000093</v>
      </c>
    </row>
    <row r="303" spans="1:3">
      <c r="A303">
        <v>274</v>
      </c>
      <c r="B303">
        <v>624371.80057286134</v>
      </c>
      <c r="C303">
        <v>8637.7294271386927</v>
      </c>
    </row>
    <row r="304" spans="1:3">
      <c r="A304">
        <v>275</v>
      </c>
      <c r="B304">
        <v>595570.32440993132</v>
      </c>
      <c r="C304">
        <v>14378.675590068684</v>
      </c>
    </row>
    <row r="305" spans="1:3">
      <c r="A305">
        <v>276</v>
      </c>
      <c r="B305">
        <v>548728.47129767423</v>
      </c>
      <c r="C305">
        <v>-624.77129767427687</v>
      </c>
    </row>
    <row r="306" spans="1:3">
      <c r="A306">
        <v>277</v>
      </c>
      <c r="B306">
        <v>703023.67748248181</v>
      </c>
      <c r="C306">
        <v>26400.742517518229</v>
      </c>
    </row>
    <row r="307" spans="1:3">
      <c r="A307">
        <v>278</v>
      </c>
      <c r="B307">
        <v>724857.2504279468</v>
      </c>
      <c r="C307">
        <v>-28595.760427946807</v>
      </c>
    </row>
    <row r="308" spans="1:3">
      <c r="A308">
        <v>279</v>
      </c>
      <c r="B308">
        <v>710897.14100238786</v>
      </c>
      <c r="C308">
        <v>102419.56899761211</v>
      </c>
    </row>
    <row r="309" spans="1:3">
      <c r="A309">
        <v>280</v>
      </c>
      <c r="B309">
        <v>706585.2969348476</v>
      </c>
      <c r="C309">
        <v>-4516.3769348475616</v>
      </c>
    </row>
    <row r="310" spans="1:3">
      <c r="A310">
        <v>281</v>
      </c>
      <c r="B310">
        <v>579839.54958344949</v>
      </c>
      <c r="C310">
        <v>-33615.849583449541</v>
      </c>
    </row>
    <row r="311" spans="1:3">
      <c r="A311">
        <v>282</v>
      </c>
      <c r="B311">
        <v>522046.92616507498</v>
      </c>
      <c r="C311">
        <v>11074.333834925026</v>
      </c>
    </row>
    <row r="312" spans="1:3">
      <c r="A312">
        <v>283</v>
      </c>
      <c r="B312">
        <v>496096.16758179257</v>
      </c>
      <c r="C312">
        <v>2874.1524182074354</v>
      </c>
    </row>
    <row r="313" spans="1:3">
      <c r="A313">
        <v>284</v>
      </c>
      <c r="B313">
        <v>463658.54222611786</v>
      </c>
      <c r="C313">
        <v>24079.717773882148</v>
      </c>
    </row>
    <row r="314" spans="1:3">
      <c r="A314">
        <v>285</v>
      </c>
      <c r="B314">
        <v>671760.0610181418</v>
      </c>
      <c r="C314">
        <v>-3300.6910181418061</v>
      </c>
    </row>
    <row r="315" spans="1:3">
      <c r="A315">
        <v>286</v>
      </c>
      <c r="B315">
        <v>680769.41100860678</v>
      </c>
      <c r="C315">
        <v>82393.038991393172</v>
      </c>
    </row>
    <row r="316" spans="1:3">
      <c r="A316">
        <v>287</v>
      </c>
      <c r="B316">
        <v>623144.02010351699</v>
      </c>
      <c r="C316">
        <v>-24126.69010351703</v>
      </c>
    </row>
    <row r="317" spans="1:3">
      <c r="A317">
        <v>288</v>
      </c>
      <c r="B317">
        <v>475203.39720989089</v>
      </c>
      <c r="C317">
        <v>-73620.817209890869</v>
      </c>
    </row>
    <row r="318" spans="1:3">
      <c r="A318">
        <v>289</v>
      </c>
      <c r="B318">
        <v>730688.30020196538</v>
      </c>
      <c r="C318">
        <v>-26875.310201965389</v>
      </c>
    </row>
    <row r="319" spans="1:3">
      <c r="A319">
        <v>290</v>
      </c>
      <c r="B319">
        <v>735134.28882009967</v>
      </c>
      <c r="C319">
        <v>-10787.558820099686</v>
      </c>
    </row>
    <row r="320" spans="1:3">
      <c r="A320">
        <v>291</v>
      </c>
      <c r="B320">
        <v>742943.47204118036</v>
      </c>
      <c r="C320">
        <v>-12053.462041180348</v>
      </c>
    </row>
    <row r="321" spans="1:3">
      <c r="A321">
        <v>292</v>
      </c>
      <c r="B321">
        <v>732029.90017846134</v>
      </c>
      <c r="C321">
        <v>48551.049821538618</v>
      </c>
    </row>
    <row r="322" spans="1:3">
      <c r="A322">
        <v>293</v>
      </c>
      <c r="B322">
        <v>681964.52268963866</v>
      </c>
      <c r="C322">
        <v>45992.957310361322</v>
      </c>
    </row>
    <row r="323" spans="1:3">
      <c r="A323">
        <v>294</v>
      </c>
      <c r="B323">
        <v>625249.89415873471</v>
      </c>
      <c r="C323">
        <v>-86873.894158734707</v>
      </c>
    </row>
    <row r="324" spans="1:3">
      <c r="A324">
        <v>295</v>
      </c>
      <c r="B324">
        <v>611202.67576762952</v>
      </c>
      <c r="C324">
        <v>54139.814232370467</v>
      </c>
    </row>
    <row r="325" spans="1:3">
      <c r="A325">
        <v>296</v>
      </c>
      <c r="B325">
        <v>697101.34948899469</v>
      </c>
      <c r="C325">
        <v>-45937.169488994638</v>
      </c>
    </row>
    <row r="326" spans="1:3">
      <c r="A326">
        <v>297</v>
      </c>
      <c r="B326">
        <v>642679.92945535283</v>
      </c>
      <c r="C326">
        <v>-14141.629455352784</v>
      </c>
    </row>
    <row r="327" spans="1:3">
      <c r="A327">
        <v>298</v>
      </c>
      <c r="B327">
        <v>575268.37930181168</v>
      </c>
      <c r="C327">
        <v>-38743.539301811717</v>
      </c>
    </row>
    <row r="328" spans="1:3">
      <c r="A328">
        <v>299</v>
      </c>
      <c r="B328">
        <v>633452.92686005379</v>
      </c>
      <c r="C328">
        <v>-11775.626860053744</v>
      </c>
    </row>
    <row r="329" spans="1:3">
      <c r="A329">
        <v>300</v>
      </c>
      <c r="B329">
        <v>671819.43782563612</v>
      </c>
      <c r="C329">
        <v>30233.032174363849</v>
      </c>
    </row>
    <row r="330" spans="1:3">
      <c r="A330">
        <v>301</v>
      </c>
      <c r="B330">
        <v>683532.13772199315</v>
      </c>
      <c r="C330">
        <v>28843.632278006873</v>
      </c>
    </row>
    <row r="331" spans="1:3">
      <c r="A331">
        <v>302</v>
      </c>
      <c r="B331">
        <v>811389.69027065113</v>
      </c>
      <c r="C331">
        <v>33320.97972934891</v>
      </c>
    </row>
    <row r="332" spans="1:3">
      <c r="A332">
        <v>303</v>
      </c>
      <c r="B332">
        <v>672705.04267018696</v>
      </c>
      <c r="C332">
        <v>-52440.842670187005</v>
      </c>
    </row>
    <row r="333" spans="1:3">
      <c r="A333">
        <v>304</v>
      </c>
      <c r="B333">
        <v>523981.24083315383</v>
      </c>
      <c r="C333">
        <v>12864.17916684621</v>
      </c>
    </row>
    <row r="334" spans="1:3">
      <c r="A334">
        <v>305</v>
      </c>
      <c r="B334">
        <v>728529.7022310911</v>
      </c>
      <c r="C334">
        <v>-1753.4822310911259</v>
      </c>
    </row>
    <row r="335" spans="1:3" ht="15.75" thickBot="1">
      <c r="A335" s="3">
        <v>306</v>
      </c>
      <c r="B335" s="3">
        <v>594846.60710186849</v>
      </c>
      <c r="C335" s="3">
        <v>-35185.767101868521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928F-C56E-4E24-B120-EE02406EDBB7}">
  <dimension ref="A1:F309"/>
  <sheetViews>
    <sheetView workbookViewId="0"/>
  </sheetViews>
  <sheetFormatPr defaultRowHeight="15"/>
  <cols>
    <col min="1" max="1" width="17.28515625" bestFit="1" customWidth="1"/>
    <col min="2" max="2" width="12" bestFit="1" customWidth="1"/>
    <col min="3" max="3" width="14.7109375" bestFit="1" customWidth="1"/>
    <col min="4" max="4" width="12.7109375" bestFit="1" customWidth="1"/>
    <col min="9" max="9" width="15.42578125" bestFit="1" customWidth="1"/>
  </cols>
  <sheetData>
    <row r="1" spans="1:6">
      <c r="A1" t="s">
        <v>127</v>
      </c>
    </row>
    <row r="2" spans="1:6" ht="15.75" thickBot="1"/>
    <row r="3" spans="1:6">
      <c r="A3" s="4" t="s">
        <v>128</v>
      </c>
      <c r="B3" s="4" t="s">
        <v>133</v>
      </c>
      <c r="C3" s="4" t="s">
        <v>155</v>
      </c>
      <c r="D3" s="4" t="s">
        <v>130</v>
      </c>
      <c r="F3" s="12" t="s">
        <v>153</v>
      </c>
    </row>
    <row r="4" spans="1:6">
      <c r="A4">
        <v>279</v>
      </c>
      <c r="B4">
        <v>813316.71</v>
      </c>
      <c r="C4">
        <v>710897.14100238786</v>
      </c>
      <c r="D4">
        <v>102419.56899761211</v>
      </c>
    </row>
    <row r="5" spans="1:6">
      <c r="A5">
        <v>114</v>
      </c>
      <c r="B5">
        <v>820519.04</v>
      </c>
      <c r="C5">
        <v>718718.92322830041</v>
      </c>
      <c r="D5">
        <v>101800.11677169963</v>
      </c>
    </row>
    <row r="6" spans="1:6">
      <c r="A6">
        <v>108</v>
      </c>
      <c r="B6">
        <v>713611.16</v>
      </c>
      <c r="C6">
        <v>614209.76161517226</v>
      </c>
      <c r="D6">
        <v>99401.398384827771</v>
      </c>
    </row>
    <row r="7" spans="1:6">
      <c r="A7">
        <v>121</v>
      </c>
      <c r="B7">
        <v>914544.17</v>
      </c>
      <c r="C7">
        <v>815549.17612506042</v>
      </c>
      <c r="D7">
        <v>98994.993874939624</v>
      </c>
    </row>
    <row r="8" spans="1:6">
      <c r="A8">
        <v>192</v>
      </c>
      <c r="B8">
        <v>735786.64</v>
      </c>
      <c r="C8">
        <v>644356.17051666684</v>
      </c>
      <c r="D8">
        <v>91430.469483333174</v>
      </c>
    </row>
    <row r="9" spans="1:6">
      <c r="A9">
        <v>100</v>
      </c>
      <c r="B9">
        <v>625514.04</v>
      </c>
      <c r="C9">
        <v>535916.16582248441</v>
      </c>
      <c r="D9">
        <v>89597.874177515623</v>
      </c>
    </row>
    <row r="10" spans="1:6">
      <c r="A10">
        <v>224</v>
      </c>
      <c r="B10">
        <v>723305.11</v>
      </c>
      <c r="C10">
        <v>633824.25338194042</v>
      </c>
      <c r="D10">
        <v>89480.856618059566</v>
      </c>
    </row>
    <row r="11" spans="1:6">
      <c r="A11">
        <v>246</v>
      </c>
      <c r="B11">
        <v>840108.12</v>
      </c>
      <c r="C11">
        <v>755500.33870164491</v>
      </c>
      <c r="D11">
        <v>84607.781298355083</v>
      </c>
    </row>
    <row r="12" spans="1:6">
      <c r="A12">
        <v>156</v>
      </c>
      <c r="B12">
        <v>778298.88</v>
      </c>
      <c r="C12">
        <v>694145.68444766034</v>
      </c>
      <c r="D12">
        <v>84153.195552339661</v>
      </c>
    </row>
    <row r="13" spans="1:6">
      <c r="A13">
        <v>81</v>
      </c>
      <c r="B13">
        <v>727241.86</v>
      </c>
      <c r="C13">
        <v>643928.81984056882</v>
      </c>
      <c r="D13">
        <v>83313.04015943117</v>
      </c>
    </row>
    <row r="14" spans="1:6">
      <c r="A14">
        <v>73</v>
      </c>
      <c r="B14">
        <v>788087.68</v>
      </c>
      <c r="C14">
        <v>704903.0492382159</v>
      </c>
      <c r="D14">
        <v>83184.630761784152</v>
      </c>
    </row>
    <row r="15" spans="1:6">
      <c r="A15">
        <v>286</v>
      </c>
      <c r="B15">
        <v>763162.45</v>
      </c>
      <c r="C15">
        <v>680769.41100860678</v>
      </c>
      <c r="D15">
        <v>82393.038991393172</v>
      </c>
    </row>
    <row r="16" spans="1:6">
      <c r="A16">
        <v>92</v>
      </c>
      <c r="B16">
        <v>838250.32</v>
      </c>
      <c r="C16">
        <v>757929.82873262244</v>
      </c>
      <c r="D16">
        <v>80320.491267377511</v>
      </c>
    </row>
    <row r="17" spans="1:4">
      <c r="A17">
        <v>264</v>
      </c>
      <c r="B17">
        <v>686737.87</v>
      </c>
      <c r="C17">
        <v>606777.43802041211</v>
      </c>
      <c r="D17">
        <v>79960.431979587884</v>
      </c>
    </row>
    <row r="18" spans="1:4">
      <c r="A18">
        <v>194</v>
      </c>
      <c r="B18">
        <v>787715.51</v>
      </c>
      <c r="C18">
        <v>711019.63093116647</v>
      </c>
      <c r="D18">
        <v>76695.879068833543</v>
      </c>
    </row>
    <row r="19" spans="1:4">
      <c r="A19">
        <v>103</v>
      </c>
      <c r="B19">
        <v>795153.84</v>
      </c>
      <c r="C19">
        <v>721661.7992398612</v>
      </c>
      <c r="D19">
        <v>73492.040760138771</v>
      </c>
    </row>
    <row r="20" spans="1:4">
      <c r="A20">
        <v>243</v>
      </c>
      <c r="B20">
        <v>799046.94</v>
      </c>
      <c r="C20">
        <v>725775.48423950304</v>
      </c>
      <c r="D20">
        <v>73271.455760496901</v>
      </c>
    </row>
    <row r="21" spans="1:4">
      <c r="A21">
        <v>133</v>
      </c>
      <c r="B21">
        <v>758827.64</v>
      </c>
      <c r="C21">
        <v>687328.76864605234</v>
      </c>
      <c r="D21">
        <v>71498.871353947674</v>
      </c>
    </row>
    <row r="22" spans="1:4">
      <c r="A22">
        <v>251</v>
      </c>
      <c r="B22">
        <v>677640.65</v>
      </c>
      <c r="C22">
        <v>606455.05324480799</v>
      </c>
      <c r="D22">
        <v>71185.596755192033</v>
      </c>
    </row>
    <row r="23" spans="1:4">
      <c r="A23">
        <v>95</v>
      </c>
      <c r="B23">
        <v>735509.4</v>
      </c>
      <c r="C23">
        <v>664356.35769637604</v>
      </c>
      <c r="D23">
        <v>71153.042303623981</v>
      </c>
    </row>
    <row r="24" spans="1:4">
      <c r="A24">
        <v>91</v>
      </c>
      <c r="B24">
        <v>753473.55</v>
      </c>
      <c r="C24">
        <v>684346.55082454823</v>
      </c>
      <c r="D24">
        <v>69126.999175451812</v>
      </c>
    </row>
    <row r="25" spans="1:4">
      <c r="A25">
        <v>60</v>
      </c>
      <c r="B25">
        <v>749559.71</v>
      </c>
      <c r="C25">
        <v>681776.55025465088</v>
      </c>
      <c r="D25">
        <v>67783.159745349083</v>
      </c>
    </row>
    <row r="26" spans="1:4">
      <c r="A26">
        <v>8</v>
      </c>
      <c r="B26">
        <v>850164.26</v>
      </c>
      <c r="C26">
        <v>783418.46542368503</v>
      </c>
      <c r="D26">
        <v>66745.794576314976</v>
      </c>
    </row>
    <row r="27" spans="1:4">
      <c r="A27">
        <v>180</v>
      </c>
      <c r="B27">
        <v>765906.95</v>
      </c>
      <c r="C27">
        <v>700686.45146025741</v>
      </c>
      <c r="D27">
        <v>65220.498539742548</v>
      </c>
    </row>
    <row r="28" spans="1:4">
      <c r="A28">
        <v>68</v>
      </c>
      <c r="B28">
        <v>661927.14</v>
      </c>
      <c r="C28">
        <v>600355.74427488388</v>
      </c>
      <c r="D28">
        <v>61571.395725116134</v>
      </c>
    </row>
    <row r="29" spans="1:4">
      <c r="A29">
        <v>123</v>
      </c>
      <c r="B29">
        <v>842157.92</v>
      </c>
      <c r="C29">
        <v>782324.75655674445</v>
      </c>
      <c r="D29">
        <v>59833.163443255587</v>
      </c>
    </row>
    <row r="30" spans="1:4">
      <c r="A30">
        <v>9</v>
      </c>
      <c r="B30">
        <v>930581.7</v>
      </c>
      <c r="C30">
        <v>871406.64535577607</v>
      </c>
      <c r="D30">
        <v>59175.054644223885</v>
      </c>
    </row>
    <row r="31" spans="1:4">
      <c r="A31">
        <v>223</v>
      </c>
      <c r="B31">
        <v>658072.14</v>
      </c>
      <c r="C31">
        <v>598953.23644144333</v>
      </c>
      <c r="D31">
        <v>59118.903558556689</v>
      </c>
    </row>
    <row r="32" spans="1:4">
      <c r="A32">
        <v>42</v>
      </c>
      <c r="B32">
        <v>657429.18000000005</v>
      </c>
      <c r="C32">
        <v>598491.20059675281</v>
      </c>
      <c r="D32">
        <v>58937.979403247242</v>
      </c>
    </row>
    <row r="33" spans="1:4">
      <c r="A33">
        <v>171</v>
      </c>
      <c r="B33">
        <v>783582</v>
      </c>
      <c r="C33">
        <v>725612.12415129424</v>
      </c>
      <c r="D33">
        <v>57969.875848705764</v>
      </c>
    </row>
    <row r="34" spans="1:4">
      <c r="A34">
        <v>189</v>
      </c>
      <c r="B34">
        <v>691447.43</v>
      </c>
      <c r="C34">
        <v>635146.84064789535</v>
      </c>
      <c r="D34">
        <v>56300.589352104696</v>
      </c>
    </row>
    <row r="35" spans="1:4">
      <c r="A35">
        <v>153</v>
      </c>
      <c r="B35">
        <v>724216.07</v>
      </c>
      <c r="C35">
        <v>667939.20491235249</v>
      </c>
      <c r="D35">
        <v>56276.865087647457</v>
      </c>
    </row>
    <row r="36" spans="1:4">
      <c r="A36">
        <v>295</v>
      </c>
      <c r="B36">
        <v>665342.49</v>
      </c>
      <c r="C36">
        <v>611202.67576762952</v>
      </c>
      <c r="D36">
        <v>54139.814232370467</v>
      </c>
    </row>
    <row r="37" spans="1:4">
      <c r="A37">
        <v>173</v>
      </c>
      <c r="B37">
        <v>898031.04</v>
      </c>
      <c r="C37">
        <v>844923.93443518423</v>
      </c>
      <c r="D37">
        <v>53107.105564815807</v>
      </c>
    </row>
    <row r="38" spans="1:4">
      <c r="A38">
        <v>206</v>
      </c>
      <c r="B38">
        <v>804975.5</v>
      </c>
      <c r="C38">
        <v>753198.47956761403</v>
      </c>
      <c r="D38">
        <v>51777.020432385965</v>
      </c>
    </row>
    <row r="39" spans="1:4">
      <c r="A39">
        <v>80</v>
      </c>
      <c r="B39">
        <v>682208.01</v>
      </c>
      <c r="C39">
        <v>630438.26480983337</v>
      </c>
      <c r="D39">
        <v>51769.745190166635</v>
      </c>
    </row>
    <row r="40" spans="1:4">
      <c r="A40">
        <v>61</v>
      </c>
      <c r="B40">
        <v>615966.48</v>
      </c>
      <c r="C40">
        <v>565165.39420586836</v>
      </c>
      <c r="D40">
        <v>50801.085794131621</v>
      </c>
    </row>
    <row r="41" spans="1:4">
      <c r="A41">
        <v>77</v>
      </c>
      <c r="B41">
        <v>776922.17</v>
      </c>
      <c r="C41">
        <v>726315.35227995587</v>
      </c>
      <c r="D41">
        <v>50606.817720044171</v>
      </c>
    </row>
    <row r="42" spans="1:4">
      <c r="A42">
        <v>249</v>
      </c>
      <c r="B42">
        <v>776110.32</v>
      </c>
      <c r="C42">
        <v>725577.43164912751</v>
      </c>
      <c r="D42">
        <v>50532.888350872439</v>
      </c>
    </row>
    <row r="43" spans="1:4">
      <c r="A43">
        <v>205</v>
      </c>
      <c r="B43">
        <v>812152.6</v>
      </c>
      <c r="C43">
        <v>763220.94246572384</v>
      </c>
      <c r="D43">
        <v>48931.657534276135</v>
      </c>
    </row>
    <row r="44" spans="1:4">
      <c r="A44">
        <v>63</v>
      </c>
      <c r="B44">
        <v>761860.19</v>
      </c>
      <c r="C44">
        <v>713037.72762470052</v>
      </c>
      <c r="D44">
        <v>48822.462375299423</v>
      </c>
    </row>
    <row r="45" spans="1:4">
      <c r="A45">
        <v>292</v>
      </c>
      <c r="B45">
        <v>780580.95</v>
      </c>
      <c r="C45">
        <v>732029.90017846134</v>
      </c>
      <c r="D45">
        <v>48551.049821538618</v>
      </c>
    </row>
    <row r="46" spans="1:4">
      <c r="A46">
        <v>221</v>
      </c>
      <c r="B46">
        <v>870937.4</v>
      </c>
      <c r="C46">
        <v>823093.49804804067</v>
      </c>
      <c r="D46">
        <v>47843.901951959357</v>
      </c>
    </row>
    <row r="47" spans="1:4">
      <c r="A47">
        <v>13</v>
      </c>
      <c r="B47">
        <v>922168.6</v>
      </c>
      <c r="C47">
        <v>874646.51141671638</v>
      </c>
      <c r="D47">
        <v>47522.088583283592</v>
      </c>
    </row>
    <row r="48" spans="1:4">
      <c r="A48">
        <v>54</v>
      </c>
      <c r="B48">
        <v>720852.5</v>
      </c>
      <c r="C48">
        <v>674346.60236603383</v>
      </c>
      <c r="D48">
        <v>46505.897633966175</v>
      </c>
    </row>
    <row r="49" spans="1:4">
      <c r="A49">
        <v>137</v>
      </c>
      <c r="B49">
        <v>682639.28</v>
      </c>
      <c r="C49">
        <v>636528.27801930706</v>
      </c>
      <c r="D49">
        <v>46111.001980692963</v>
      </c>
    </row>
    <row r="50" spans="1:4">
      <c r="A50">
        <v>293</v>
      </c>
      <c r="B50">
        <v>727957.48</v>
      </c>
      <c r="C50">
        <v>681964.52268963866</v>
      </c>
      <c r="D50">
        <v>45992.957310361322</v>
      </c>
    </row>
    <row r="51" spans="1:4">
      <c r="A51">
        <v>266</v>
      </c>
      <c r="B51">
        <v>738548.42</v>
      </c>
      <c r="C51">
        <v>693322.2218987922</v>
      </c>
      <c r="D51">
        <v>45226.198101207847</v>
      </c>
    </row>
    <row r="52" spans="1:4">
      <c r="A52">
        <v>12</v>
      </c>
      <c r="B52">
        <v>910791.94</v>
      </c>
      <c r="C52">
        <v>865821.13252864103</v>
      </c>
      <c r="D52">
        <v>44970.807471358916</v>
      </c>
    </row>
    <row r="53" spans="1:4">
      <c r="A53">
        <v>154</v>
      </c>
      <c r="B53">
        <v>620973.03</v>
      </c>
      <c r="C53">
        <v>576082.97068719636</v>
      </c>
      <c r="D53">
        <v>44890.059312803671</v>
      </c>
    </row>
    <row r="54" spans="1:4">
      <c r="A54">
        <v>198</v>
      </c>
      <c r="B54">
        <v>795464.47</v>
      </c>
      <c r="C54">
        <v>751008.06293025112</v>
      </c>
      <c r="D54">
        <v>44456.40706974885</v>
      </c>
    </row>
    <row r="55" spans="1:4">
      <c r="A55">
        <v>36</v>
      </c>
      <c r="B55">
        <v>820593.93</v>
      </c>
      <c r="C55">
        <v>776320.97502386197</v>
      </c>
      <c r="D55">
        <v>44272.954976138077</v>
      </c>
    </row>
    <row r="56" spans="1:4">
      <c r="A56">
        <v>135</v>
      </c>
      <c r="B56">
        <v>715890.53</v>
      </c>
      <c r="C56">
        <v>672342.19501447224</v>
      </c>
      <c r="D56">
        <v>43548.334985527792</v>
      </c>
    </row>
    <row r="57" spans="1:4">
      <c r="A57">
        <v>132</v>
      </c>
      <c r="B57">
        <v>743348.84</v>
      </c>
      <c r="C57">
        <v>701048.44829069369</v>
      </c>
      <c r="D57">
        <v>42300.391709306277</v>
      </c>
    </row>
    <row r="58" spans="1:4">
      <c r="A58">
        <v>46</v>
      </c>
      <c r="B58">
        <v>614800.09</v>
      </c>
      <c r="C58">
        <v>574126.89760524838</v>
      </c>
      <c r="D58">
        <v>40673.19239475159</v>
      </c>
    </row>
    <row r="59" spans="1:4">
      <c r="A59">
        <v>76</v>
      </c>
      <c r="B59">
        <v>691112.6</v>
      </c>
      <c r="C59">
        <v>650976.02710237785</v>
      </c>
      <c r="D59">
        <v>40136.572897622129</v>
      </c>
    </row>
    <row r="60" spans="1:4">
      <c r="A60">
        <v>164</v>
      </c>
      <c r="B60">
        <v>769702.76</v>
      </c>
      <c r="C60">
        <v>730083.35168475052</v>
      </c>
      <c r="D60">
        <v>39619.408315249486</v>
      </c>
    </row>
    <row r="61" spans="1:4">
      <c r="A61">
        <v>158</v>
      </c>
      <c r="B61">
        <v>825797.91</v>
      </c>
      <c r="C61">
        <v>788382.78479366447</v>
      </c>
      <c r="D61">
        <v>37415.125206335564</v>
      </c>
    </row>
    <row r="62" spans="1:4">
      <c r="A62">
        <v>110</v>
      </c>
      <c r="B62">
        <v>873380.02</v>
      </c>
      <c r="C62">
        <v>836167.2910354191</v>
      </c>
      <c r="D62">
        <v>37212.728964580921</v>
      </c>
    </row>
    <row r="63" spans="1:4">
      <c r="A63">
        <v>86</v>
      </c>
      <c r="B63">
        <v>711213.46</v>
      </c>
      <c r="C63">
        <v>675116.50490530487</v>
      </c>
      <c r="D63">
        <v>36096.955094695091</v>
      </c>
    </row>
    <row r="64" spans="1:4">
      <c r="A64">
        <v>53</v>
      </c>
      <c r="B64">
        <v>746677.75</v>
      </c>
      <c r="C64">
        <v>710736.46902421757</v>
      </c>
      <c r="D64">
        <v>35941.280975782429</v>
      </c>
    </row>
    <row r="65" spans="1:4">
      <c r="A65">
        <v>97</v>
      </c>
      <c r="B65">
        <v>635181.35</v>
      </c>
      <c r="C65">
        <v>599584.31555332674</v>
      </c>
      <c r="D65">
        <v>35597.034446673235</v>
      </c>
    </row>
    <row r="66" spans="1:4">
      <c r="A66">
        <v>262</v>
      </c>
      <c r="B66">
        <v>561597.32999999996</v>
      </c>
      <c r="C66">
        <v>526405.65864615736</v>
      </c>
      <c r="D66">
        <v>35191.671353842597</v>
      </c>
    </row>
    <row r="67" spans="1:4">
      <c r="A67">
        <v>118</v>
      </c>
      <c r="B67">
        <v>654317.09</v>
      </c>
      <c r="C67">
        <v>619322.29759034805</v>
      </c>
      <c r="D67">
        <v>34994.792409651913</v>
      </c>
    </row>
    <row r="68" spans="1:4">
      <c r="A68">
        <v>182</v>
      </c>
      <c r="B68">
        <v>625993.82999999996</v>
      </c>
      <c r="C68">
        <v>591000.60776892141</v>
      </c>
      <c r="D68">
        <v>34993.222231078544</v>
      </c>
    </row>
    <row r="69" spans="1:4">
      <c r="A69">
        <v>101</v>
      </c>
      <c r="B69">
        <v>727227.2</v>
      </c>
      <c r="C69">
        <v>693075.99202164717</v>
      </c>
      <c r="D69">
        <v>34151.207978352788</v>
      </c>
    </row>
    <row r="70" spans="1:4">
      <c r="A70">
        <v>51</v>
      </c>
      <c r="B70">
        <v>773815.14</v>
      </c>
      <c r="C70">
        <v>739724.57846949261</v>
      </c>
      <c r="D70">
        <v>34090.561530507402</v>
      </c>
    </row>
    <row r="71" spans="1:4">
      <c r="A71">
        <v>258</v>
      </c>
      <c r="B71">
        <v>739374.56</v>
      </c>
      <c r="C71">
        <v>705498.96911529533</v>
      </c>
      <c r="D71">
        <v>33875.590884704725</v>
      </c>
    </row>
    <row r="72" spans="1:4">
      <c r="A72">
        <v>302</v>
      </c>
      <c r="B72">
        <v>844710.67</v>
      </c>
      <c r="C72">
        <v>811389.69027065113</v>
      </c>
      <c r="D72">
        <v>33320.97972934891</v>
      </c>
    </row>
    <row r="73" spans="1:4">
      <c r="A73">
        <v>109</v>
      </c>
      <c r="B73">
        <v>778397.97</v>
      </c>
      <c r="C73">
        <v>745109.87729422422</v>
      </c>
      <c r="D73">
        <v>33288.092705775751</v>
      </c>
    </row>
    <row r="74" spans="1:4">
      <c r="A74">
        <v>16</v>
      </c>
      <c r="B74">
        <v>834017.02</v>
      </c>
      <c r="C74">
        <v>802111.01357141789</v>
      </c>
      <c r="D74">
        <v>31906.006428582128</v>
      </c>
    </row>
    <row r="75" spans="1:4">
      <c r="A75">
        <v>256</v>
      </c>
      <c r="B75">
        <v>762328.31</v>
      </c>
      <c r="C75">
        <v>730564.12125356949</v>
      </c>
      <c r="D75">
        <v>31764.188746430562</v>
      </c>
    </row>
    <row r="76" spans="1:4">
      <c r="A76">
        <v>23</v>
      </c>
      <c r="B76">
        <v>555929.4</v>
      </c>
      <c r="C76">
        <v>524619.87048662745</v>
      </c>
      <c r="D76">
        <v>31309.529513372574</v>
      </c>
    </row>
    <row r="77" spans="1:4">
      <c r="A77">
        <v>300</v>
      </c>
      <c r="B77">
        <v>702052.47</v>
      </c>
      <c r="C77">
        <v>671819.43782563612</v>
      </c>
      <c r="D77">
        <v>30233.032174363849</v>
      </c>
    </row>
    <row r="78" spans="1:4">
      <c r="A78">
        <v>211</v>
      </c>
      <c r="B78">
        <v>673348.56</v>
      </c>
      <c r="C78">
        <v>643329.0875066818</v>
      </c>
      <c r="D78">
        <v>30019.472493318259</v>
      </c>
    </row>
    <row r="79" spans="1:4">
      <c r="A79">
        <v>145</v>
      </c>
      <c r="B79">
        <v>696744.15</v>
      </c>
      <c r="C79">
        <v>667021.49107542774</v>
      </c>
      <c r="D79">
        <v>29722.658924572286</v>
      </c>
    </row>
    <row r="80" spans="1:4">
      <c r="A80">
        <v>89</v>
      </c>
      <c r="B80">
        <v>586307.22</v>
      </c>
      <c r="C80">
        <v>556631.30514690722</v>
      </c>
      <c r="D80">
        <v>29675.914853092749</v>
      </c>
    </row>
    <row r="81" spans="1:4">
      <c r="A81">
        <v>301</v>
      </c>
      <c r="B81">
        <v>712375.77</v>
      </c>
      <c r="C81">
        <v>683532.13772199315</v>
      </c>
      <c r="D81">
        <v>28843.632278006873</v>
      </c>
    </row>
    <row r="82" spans="1:4">
      <c r="A82">
        <v>271</v>
      </c>
      <c r="B82">
        <v>714083.68</v>
      </c>
      <c r="C82">
        <v>686775.28758253076</v>
      </c>
      <c r="D82">
        <v>27308.392417469295</v>
      </c>
    </row>
    <row r="83" spans="1:4">
      <c r="A83">
        <v>277</v>
      </c>
      <c r="B83">
        <v>729424.42</v>
      </c>
      <c r="C83">
        <v>703023.67748248181</v>
      </c>
      <c r="D83">
        <v>26400.742517518229</v>
      </c>
    </row>
    <row r="84" spans="1:4">
      <c r="A84">
        <v>88</v>
      </c>
      <c r="B84">
        <v>739852.58</v>
      </c>
      <c r="C84">
        <v>713616.41236622375</v>
      </c>
      <c r="D84">
        <v>26236.167633776204</v>
      </c>
    </row>
    <row r="85" spans="1:4">
      <c r="A85">
        <v>134</v>
      </c>
      <c r="B85">
        <v>646559.71</v>
      </c>
      <c r="C85">
        <v>620507.55745077296</v>
      </c>
      <c r="D85">
        <v>26052.152549227001</v>
      </c>
    </row>
    <row r="86" spans="1:4">
      <c r="A86">
        <v>244</v>
      </c>
      <c r="B86">
        <v>720079.54</v>
      </c>
      <c r="C86">
        <v>694226.28151095391</v>
      </c>
      <c r="D86">
        <v>25853.258489046129</v>
      </c>
    </row>
    <row r="87" spans="1:4">
      <c r="A87">
        <v>136</v>
      </c>
      <c r="B87">
        <v>715097.57</v>
      </c>
      <c r="C87">
        <v>690468.45711235562</v>
      </c>
      <c r="D87">
        <v>24629.112887644325</v>
      </c>
    </row>
    <row r="88" spans="1:4">
      <c r="A88">
        <v>284</v>
      </c>
      <c r="B88">
        <v>487738.26</v>
      </c>
      <c r="C88">
        <v>463658.54222611786</v>
      </c>
      <c r="D88">
        <v>24079.717773882148</v>
      </c>
    </row>
    <row r="89" spans="1:4">
      <c r="A89">
        <v>172</v>
      </c>
      <c r="B89">
        <v>781955.52</v>
      </c>
      <c r="C89">
        <v>758069.89067171025</v>
      </c>
      <c r="D89">
        <v>23885.629328289768</v>
      </c>
    </row>
    <row r="90" spans="1:4">
      <c r="A90">
        <v>208</v>
      </c>
      <c r="B90">
        <v>836908.24</v>
      </c>
      <c r="C90">
        <v>813139.24481407658</v>
      </c>
      <c r="D90">
        <v>23768.995185923413</v>
      </c>
    </row>
    <row r="91" spans="1:4">
      <c r="A91">
        <v>225</v>
      </c>
      <c r="B91">
        <v>640666.53</v>
      </c>
      <c r="C91">
        <v>617214.17050372774</v>
      </c>
      <c r="D91">
        <v>23452.359496272285</v>
      </c>
    </row>
    <row r="92" spans="1:4">
      <c r="A92">
        <v>254</v>
      </c>
      <c r="B92">
        <v>767792.94</v>
      </c>
      <c r="C92">
        <v>745009.86183745437</v>
      </c>
      <c r="D92">
        <v>22783.078162545571</v>
      </c>
    </row>
    <row r="93" spans="1:4">
      <c r="A93">
        <v>105</v>
      </c>
      <c r="B93">
        <v>709478.39</v>
      </c>
      <c r="C93">
        <v>686966.09098784113</v>
      </c>
      <c r="D93">
        <v>22512.299012158881</v>
      </c>
    </row>
    <row r="94" spans="1:4">
      <c r="A94">
        <v>252</v>
      </c>
      <c r="B94">
        <v>636613.23</v>
      </c>
      <c r="C94">
        <v>614429.57159507775</v>
      </c>
      <c r="D94">
        <v>22183.658404922229</v>
      </c>
    </row>
    <row r="95" spans="1:4">
      <c r="A95">
        <v>99</v>
      </c>
      <c r="B95">
        <v>740102.64</v>
      </c>
      <c r="C95">
        <v>718817.53660965397</v>
      </c>
      <c r="D95">
        <v>21285.103390346048</v>
      </c>
    </row>
    <row r="96" spans="1:4">
      <c r="A96">
        <v>138</v>
      </c>
      <c r="B96">
        <v>695098.51</v>
      </c>
      <c r="C96">
        <v>674497.72956086358</v>
      </c>
      <c r="D96">
        <v>20600.780439136433</v>
      </c>
    </row>
    <row r="97" spans="1:4">
      <c r="A97">
        <v>125</v>
      </c>
      <c r="B97">
        <v>849018.3</v>
      </c>
      <c r="C97">
        <v>829107.97180605878</v>
      </c>
      <c r="D97">
        <v>19910.32819394127</v>
      </c>
    </row>
    <row r="98" spans="1:4">
      <c r="A98">
        <v>247</v>
      </c>
      <c r="B98">
        <v>697888.09</v>
      </c>
      <c r="C98">
        <v>678036.65108006832</v>
      </c>
      <c r="D98">
        <v>19851.43891993165</v>
      </c>
    </row>
    <row r="99" spans="1:4">
      <c r="A99">
        <v>47</v>
      </c>
      <c r="B99">
        <v>585365.73</v>
      </c>
      <c r="C99">
        <v>565531.7123000311</v>
      </c>
      <c r="D99">
        <v>19834.017699968885</v>
      </c>
    </row>
    <row r="100" spans="1:4">
      <c r="A100">
        <v>146</v>
      </c>
      <c r="B100">
        <v>725847.99</v>
      </c>
      <c r="C100">
        <v>706183.83878096892</v>
      </c>
      <c r="D100">
        <v>19664.151219031075</v>
      </c>
    </row>
    <row r="101" spans="1:4">
      <c r="A101">
        <v>179</v>
      </c>
      <c r="B101">
        <v>678311.17</v>
      </c>
      <c r="C101">
        <v>658841.25606021821</v>
      </c>
      <c r="D101">
        <v>19469.913939781836</v>
      </c>
    </row>
    <row r="102" spans="1:4">
      <c r="A102">
        <v>83</v>
      </c>
      <c r="B102">
        <v>574436.29</v>
      </c>
      <c r="C102">
        <v>555113.64903840446</v>
      </c>
      <c r="D102">
        <v>19322.640961595578</v>
      </c>
    </row>
    <row r="103" spans="1:4">
      <c r="A103">
        <v>96</v>
      </c>
      <c r="B103">
        <v>675177.68</v>
      </c>
      <c r="C103">
        <v>655870.04965468915</v>
      </c>
      <c r="D103">
        <v>19307.630345310899</v>
      </c>
    </row>
    <row r="104" spans="1:4">
      <c r="A104">
        <v>174</v>
      </c>
      <c r="B104">
        <v>855341.28</v>
      </c>
      <c r="C104">
        <v>838414.79310460796</v>
      </c>
      <c r="D104">
        <v>16926.486895392067</v>
      </c>
    </row>
    <row r="105" spans="1:4">
      <c r="A105">
        <v>241</v>
      </c>
      <c r="B105">
        <v>729440.45</v>
      </c>
      <c r="C105">
        <v>712623.62382614962</v>
      </c>
      <c r="D105">
        <v>16816.826173850335</v>
      </c>
    </row>
    <row r="106" spans="1:4">
      <c r="A106">
        <v>255</v>
      </c>
      <c r="B106">
        <v>745580.51</v>
      </c>
      <c r="C106">
        <v>728782.82951846754</v>
      </c>
      <c r="D106">
        <v>16797.680481532472</v>
      </c>
    </row>
    <row r="107" spans="1:4">
      <c r="A107">
        <v>232</v>
      </c>
      <c r="B107">
        <v>676337.41</v>
      </c>
      <c r="C107">
        <v>659837.69181892846</v>
      </c>
      <c r="D107">
        <v>16499.71818107157</v>
      </c>
    </row>
    <row r="108" spans="1:4">
      <c r="A108">
        <v>226</v>
      </c>
      <c r="B108">
        <v>670629.48</v>
      </c>
      <c r="C108">
        <v>654868.58348810102</v>
      </c>
      <c r="D108">
        <v>15760.896511898958</v>
      </c>
    </row>
    <row r="109" spans="1:4">
      <c r="A109">
        <v>231</v>
      </c>
      <c r="B109">
        <v>776992.93</v>
      </c>
      <c r="C109">
        <v>762255.2343603163</v>
      </c>
      <c r="D109">
        <v>14737.695639683749</v>
      </c>
    </row>
    <row r="110" spans="1:4">
      <c r="A110">
        <v>275</v>
      </c>
      <c r="B110">
        <v>609949</v>
      </c>
      <c r="C110">
        <v>595570.32440993132</v>
      </c>
      <c r="D110">
        <v>14378.675590068684</v>
      </c>
    </row>
    <row r="111" spans="1:4">
      <c r="A111">
        <v>82</v>
      </c>
      <c r="B111">
        <v>569100.78</v>
      </c>
      <c r="C111">
        <v>554875.66015275894</v>
      </c>
      <c r="D111">
        <v>14225.119847241091</v>
      </c>
    </row>
    <row r="112" spans="1:4">
      <c r="A112">
        <v>24</v>
      </c>
      <c r="B112">
        <v>565810.99</v>
      </c>
      <c r="C112">
        <v>551656.70954699267</v>
      </c>
      <c r="D112">
        <v>14154.280453007319</v>
      </c>
    </row>
    <row r="113" spans="1:4">
      <c r="A113">
        <v>217</v>
      </c>
      <c r="B113">
        <v>641564.6</v>
      </c>
      <c r="C113">
        <v>628002.15951574442</v>
      </c>
      <c r="D113">
        <v>13562.440484255552</v>
      </c>
    </row>
    <row r="114" spans="1:4">
      <c r="A114">
        <v>113</v>
      </c>
      <c r="B114">
        <v>714942.43</v>
      </c>
      <c r="C114">
        <v>701928.71696398768</v>
      </c>
      <c r="D114">
        <v>13013.71303601237</v>
      </c>
    </row>
    <row r="115" spans="1:4">
      <c r="A115">
        <v>304</v>
      </c>
      <c r="B115">
        <v>536845.42000000004</v>
      </c>
      <c r="C115">
        <v>523981.24083315383</v>
      </c>
      <c r="D115">
        <v>12864.17916684621</v>
      </c>
    </row>
    <row r="116" spans="1:4">
      <c r="A116">
        <v>50</v>
      </c>
      <c r="B116">
        <v>625672.86</v>
      </c>
      <c r="C116">
        <v>612985.14632612385</v>
      </c>
      <c r="D116">
        <v>12687.713673876133</v>
      </c>
    </row>
    <row r="117" spans="1:4">
      <c r="A117">
        <v>166</v>
      </c>
      <c r="B117">
        <v>780344.18</v>
      </c>
      <c r="C117">
        <v>767903.27831607498</v>
      </c>
      <c r="D117">
        <v>12440.901683925069</v>
      </c>
    </row>
    <row r="118" spans="1:4">
      <c r="A118">
        <v>175</v>
      </c>
      <c r="B118">
        <v>751393.88</v>
      </c>
      <c r="C118">
        <v>739742.8079777956</v>
      </c>
      <c r="D118">
        <v>11651.072022204404</v>
      </c>
    </row>
    <row r="119" spans="1:4">
      <c r="A119">
        <v>267</v>
      </c>
      <c r="B119">
        <v>756619.77</v>
      </c>
      <c r="C119">
        <v>745262.18220761651</v>
      </c>
      <c r="D119">
        <v>11357.587792383507</v>
      </c>
    </row>
    <row r="120" spans="1:4">
      <c r="A120">
        <v>282</v>
      </c>
      <c r="B120">
        <v>533121.26</v>
      </c>
      <c r="C120">
        <v>522046.92616507498</v>
      </c>
      <c r="D120">
        <v>11074.333834925026</v>
      </c>
    </row>
    <row r="121" spans="1:4">
      <c r="A121">
        <v>176</v>
      </c>
      <c r="B121">
        <v>761077.08</v>
      </c>
      <c r="C121">
        <v>750649.6557382344</v>
      </c>
      <c r="D121">
        <v>10427.424261765555</v>
      </c>
    </row>
    <row r="122" spans="1:4">
      <c r="A122">
        <v>71</v>
      </c>
      <c r="B122">
        <v>616069.41</v>
      </c>
      <c r="C122">
        <v>605845.34102983086</v>
      </c>
      <c r="D122">
        <v>10224.068970169174</v>
      </c>
    </row>
    <row r="123" spans="1:4">
      <c r="A123">
        <v>209</v>
      </c>
      <c r="B123">
        <v>674289.1</v>
      </c>
      <c r="C123">
        <v>664233.80825118988</v>
      </c>
      <c r="D123">
        <v>10055.291748810094</v>
      </c>
    </row>
    <row r="124" spans="1:4">
      <c r="A124">
        <v>7</v>
      </c>
      <c r="B124">
        <v>806615.54</v>
      </c>
      <c r="C124">
        <v>796619.37556385051</v>
      </c>
      <c r="D124">
        <v>9996.1644361495273</v>
      </c>
    </row>
    <row r="125" spans="1:4">
      <c r="A125">
        <v>188</v>
      </c>
      <c r="B125">
        <v>559422.02</v>
      </c>
      <c r="C125">
        <v>549528.99672817404</v>
      </c>
      <c r="D125">
        <v>9893.0232718259795</v>
      </c>
    </row>
    <row r="126" spans="1:4">
      <c r="A126">
        <v>170</v>
      </c>
      <c r="B126">
        <v>887537.75</v>
      </c>
      <c r="C126">
        <v>878227.68246941536</v>
      </c>
      <c r="D126">
        <v>9310.067530584638</v>
      </c>
    </row>
    <row r="127" spans="1:4">
      <c r="A127">
        <v>235</v>
      </c>
      <c r="B127">
        <v>802001.68</v>
      </c>
      <c r="C127">
        <v>792833.14538522903</v>
      </c>
      <c r="D127">
        <v>9168.5346147710225</v>
      </c>
    </row>
    <row r="128" spans="1:4">
      <c r="A128">
        <v>250</v>
      </c>
      <c r="B128">
        <v>528852.62</v>
      </c>
      <c r="C128">
        <v>519789.69328060705</v>
      </c>
      <c r="D128">
        <v>9062.9267193929409</v>
      </c>
    </row>
    <row r="129" spans="1:4">
      <c r="A129">
        <v>274</v>
      </c>
      <c r="B129">
        <v>633009.53</v>
      </c>
      <c r="C129">
        <v>624371.80057286134</v>
      </c>
      <c r="D129">
        <v>8637.7294271386927</v>
      </c>
    </row>
    <row r="130" spans="1:4">
      <c r="A130">
        <v>67</v>
      </c>
      <c r="B130">
        <v>740496.65</v>
      </c>
      <c r="C130">
        <v>732730.44346905767</v>
      </c>
      <c r="D130">
        <v>7766.2065309423488</v>
      </c>
    </row>
    <row r="131" spans="1:4">
      <c r="A131">
        <v>261</v>
      </c>
      <c r="B131">
        <v>645039.97</v>
      </c>
      <c r="C131">
        <v>637286.67864649196</v>
      </c>
      <c r="D131">
        <v>7753.2913535080152</v>
      </c>
    </row>
    <row r="132" spans="1:4">
      <c r="A132">
        <v>207</v>
      </c>
      <c r="B132">
        <v>752321.72</v>
      </c>
      <c r="C132">
        <v>744712.63008406351</v>
      </c>
      <c r="D132">
        <v>7609.0899159364635</v>
      </c>
    </row>
    <row r="133" spans="1:4">
      <c r="A133">
        <v>116</v>
      </c>
      <c r="B133">
        <v>735480.19</v>
      </c>
      <c r="C133">
        <v>728516.67813208315</v>
      </c>
      <c r="D133">
        <v>6963.5118679167936</v>
      </c>
    </row>
    <row r="134" spans="1:4">
      <c r="A134">
        <v>148</v>
      </c>
      <c r="B134">
        <v>698492.67</v>
      </c>
      <c r="C134">
        <v>692865.68261168257</v>
      </c>
      <c r="D134">
        <v>5626.9873883174732</v>
      </c>
    </row>
    <row r="135" spans="1:4">
      <c r="A135">
        <v>177</v>
      </c>
      <c r="B135">
        <v>819660.59</v>
      </c>
      <c r="C135">
        <v>814184.97185514064</v>
      </c>
      <c r="D135">
        <v>5475.618144859327</v>
      </c>
    </row>
    <row r="136" spans="1:4">
      <c r="A136">
        <v>30</v>
      </c>
      <c r="B136">
        <v>537383.79</v>
      </c>
      <c r="C136">
        <v>532241.30078324117</v>
      </c>
      <c r="D136">
        <v>5142.4892167588696</v>
      </c>
    </row>
    <row r="137" spans="1:4">
      <c r="A137">
        <v>144</v>
      </c>
      <c r="B137">
        <v>712868.35</v>
      </c>
      <c r="C137">
        <v>707735.00637125969</v>
      </c>
      <c r="D137">
        <v>5133.3436287402874</v>
      </c>
    </row>
    <row r="138" spans="1:4">
      <c r="A138">
        <v>201</v>
      </c>
      <c r="B138">
        <v>810446.53</v>
      </c>
      <c r="C138">
        <v>805526.80431256292</v>
      </c>
      <c r="D138">
        <v>4919.7256874371087</v>
      </c>
    </row>
    <row r="139" spans="1:4">
      <c r="A139">
        <v>273</v>
      </c>
      <c r="B139">
        <v>636775.66</v>
      </c>
      <c r="C139">
        <v>631858.36255810002</v>
      </c>
      <c r="D139">
        <v>4917.2974419000093</v>
      </c>
    </row>
    <row r="140" spans="1:4">
      <c r="A140">
        <v>183</v>
      </c>
      <c r="B140">
        <v>550962.93000000005</v>
      </c>
      <c r="C140">
        <v>546380.15799572121</v>
      </c>
      <c r="D140">
        <v>4582.7720042788424</v>
      </c>
    </row>
    <row r="141" spans="1:4">
      <c r="A141">
        <v>181</v>
      </c>
      <c r="B141">
        <v>712546.38</v>
      </c>
      <c r="C141">
        <v>707976.83735562186</v>
      </c>
      <c r="D141">
        <v>4569.5426443781471</v>
      </c>
    </row>
    <row r="142" spans="1:4">
      <c r="A142">
        <v>142</v>
      </c>
      <c r="B142">
        <v>570964.84</v>
      </c>
      <c r="C142">
        <v>566614.86320970219</v>
      </c>
      <c r="D142">
        <v>4349.9767902977765</v>
      </c>
    </row>
    <row r="143" spans="1:4">
      <c r="A143">
        <v>213</v>
      </c>
      <c r="B143">
        <v>712219.81</v>
      </c>
      <c r="C143">
        <v>708823.35531472869</v>
      </c>
      <c r="D143">
        <v>3396.4546852713684</v>
      </c>
    </row>
    <row r="144" spans="1:4">
      <c r="A144">
        <v>34</v>
      </c>
      <c r="B144">
        <v>798952.17</v>
      </c>
      <c r="C144">
        <v>795840.27091459942</v>
      </c>
      <c r="D144">
        <v>3111.8990854006261</v>
      </c>
    </row>
    <row r="145" spans="1:4">
      <c r="A145">
        <v>161</v>
      </c>
      <c r="B145">
        <v>820729.29</v>
      </c>
      <c r="C145">
        <v>817804.63234630751</v>
      </c>
      <c r="D145">
        <v>2924.6576536925277</v>
      </c>
    </row>
    <row r="146" spans="1:4">
      <c r="A146">
        <v>28</v>
      </c>
      <c r="B146">
        <v>701641.97</v>
      </c>
      <c r="C146">
        <v>698762.91430480243</v>
      </c>
      <c r="D146">
        <v>2879.055695197545</v>
      </c>
    </row>
    <row r="147" spans="1:4">
      <c r="A147">
        <v>283</v>
      </c>
      <c r="B147">
        <v>498970.32</v>
      </c>
      <c r="C147">
        <v>496096.16758179257</v>
      </c>
      <c r="D147">
        <v>2874.1524182074354</v>
      </c>
    </row>
    <row r="148" spans="1:4">
      <c r="A148">
        <v>43</v>
      </c>
      <c r="B148">
        <v>605178</v>
      </c>
      <c r="C148">
        <v>603067.59912528947</v>
      </c>
      <c r="D148">
        <v>2110.4008747105254</v>
      </c>
    </row>
    <row r="149" spans="1:4">
      <c r="A149">
        <v>49</v>
      </c>
      <c r="B149">
        <v>603297.56999999995</v>
      </c>
      <c r="C149">
        <v>601357.04628490191</v>
      </c>
      <c r="D149">
        <v>1940.5237150980392</v>
      </c>
    </row>
    <row r="150" spans="1:4">
      <c r="A150">
        <v>124</v>
      </c>
      <c r="B150">
        <v>697155.3</v>
      </c>
      <c r="C150">
        <v>695667.40031198889</v>
      </c>
      <c r="D150">
        <v>1487.8996880111517</v>
      </c>
    </row>
    <row r="151" spans="1:4">
      <c r="A151">
        <v>236</v>
      </c>
      <c r="B151">
        <v>750471.34</v>
      </c>
      <c r="C151">
        <v>749036.37450681708</v>
      </c>
      <c r="D151">
        <v>1434.9654931828845</v>
      </c>
    </row>
    <row r="152" spans="1:4">
      <c r="A152">
        <v>70</v>
      </c>
      <c r="B152">
        <v>605023.87</v>
      </c>
      <c r="C152">
        <v>603742.17946652218</v>
      </c>
      <c r="D152">
        <v>1281.690533477813</v>
      </c>
    </row>
    <row r="153" spans="1:4">
      <c r="A153">
        <v>41</v>
      </c>
      <c r="B153">
        <v>532644.46</v>
      </c>
      <c r="C153">
        <v>531450.53058762196</v>
      </c>
      <c r="D153">
        <v>1193.9294123779982</v>
      </c>
    </row>
    <row r="154" spans="1:4">
      <c r="A154">
        <v>22</v>
      </c>
      <c r="B154">
        <v>491905.13</v>
      </c>
      <c r="C154">
        <v>491289.60408166633</v>
      </c>
      <c r="D154">
        <v>615.52591833367478</v>
      </c>
    </row>
    <row r="155" spans="1:4">
      <c r="A155">
        <v>272</v>
      </c>
      <c r="B155">
        <v>497439.82</v>
      </c>
      <c r="C155">
        <v>496864.23254756961</v>
      </c>
      <c r="D155">
        <v>575.58745243039448</v>
      </c>
    </row>
    <row r="156" spans="1:4">
      <c r="A156">
        <v>90</v>
      </c>
      <c r="B156">
        <v>585937.48</v>
      </c>
      <c r="C156">
        <v>585396.72366589599</v>
      </c>
      <c r="D156">
        <v>540.75633410399314</v>
      </c>
    </row>
    <row r="157" spans="1:4">
      <c r="A157">
        <v>230</v>
      </c>
      <c r="B157">
        <v>737070.18</v>
      </c>
      <c r="C157">
        <v>736536.43504604232</v>
      </c>
      <c r="D157">
        <v>533.74495395773556</v>
      </c>
    </row>
    <row r="158" spans="1:4">
      <c r="A158">
        <v>248</v>
      </c>
      <c r="B158">
        <v>746115.59</v>
      </c>
      <c r="C158">
        <v>745664.60603460018</v>
      </c>
      <c r="D158">
        <v>450.98396539979149</v>
      </c>
    </row>
    <row r="159" spans="1:4">
      <c r="A159">
        <v>84</v>
      </c>
      <c r="B159">
        <v>614596.31999999995</v>
      </c>
      <c r="C159">
        <v>614246.92422950582</v>
      </c>
      <c r="D159">
        <v>349.39577049412765</v>
      </c>
    </row>
    <row r="160" spans="1:4">
      <c r="A160">
        <v>141</v>
      </c>
      <c r="B160">
        <v>601568.87</v>
      </c>
      <c r="C160">
        <v>601349.79518408829</v>
      </c>
      <c r="D160">
        <v>219.07481591170654</v>
      </c>
    </row>
    <row r="161" spans="1:4">
      <c r="A161">
        <v>157</v>
      </c>
      <c r="B161">
        <v>692008.64</v>
      </c>
      <c r="C161">
        <v>692337.43840997247</v>
      </c>
      <c r="D161">
        <v>-328.79840997245628</v>
      </c>
    </row>
    <row r="162" spans="1:4">
      <c r="A162">
        <v>104</v>
      </c>
      <c r="B162">
        <v>665594.93999999994</v>
      </c>
      <c r="C162">
        <v>666096.5917434328</v>
      </c>
      <c r="D162">
        <v>-501.65174343285616</v>
      </c>
    </row>
    <row r="163" spans="1:4">
      <c r="A163">
        <v>20</v>
      </c>
      <c r="B163">
        <v>591619.94999999995</v>
      </c>
      <c r="C163">
        <v>592207.8929728159</v>
      </c>
      <c r="D163">
        <v>-587.94297281594481</v>
      </c>
    </row>
    <row r="164" spans="1:4">
      <c r="A164">
        <v>276</v>
      </c>
      <c r="B164">
        <v>548103.69999999995</v>
      </c>
      <c r="C164">
        <v>548728.47129767423</v>
      </c>
      <c r="D164">
        <v>-624.77129767427687</v>
      </c>
    </row>
    <row r="165" spans="1:4">
      <c r="A165">
        <v>233</v>
      </c>
      <c r="B165">
        <v>828219.67</v>
      </c>
      <c r="C165">
        <v>828915.65703349968</v>
      </c>
      <c r="D165">
        <v>-695.98703349963762</v>
      </c>
    </row>
    <row r="166" spans="1:4">
      <c r="A166">
        <v>305</v>
      </c>
      <c r="B166">
        <v>726776.22</v>
      </c>
      <c r="C166">
        <v>728529.7022310911</v>
      </c>
      <c r="D166">
        <v>-1753.4822310911259</v>
      </c>
    </row>
    <row r="167" spans="1:4">
      <c r="A167">
        <v>187</v>
      </c>
      <c r="B167">
        <v>611924.27</v>
      </c>
      <c r="C167">
        <v>613727.78734710068</v>
      </c>
      <c r="D167">
        <v>-1803.5173471006565</v>
      </c>
    </row>
    <row r="168" spans="1:4">
      <c r="A168">
        <v>102</v>
      </c>
      <c r="B168">
        <v>783797.89</v>
      </c>
      <c r="C168">
        <v>785927.87197864836</v>
      </c>
      <c r="D168">
        <v>-2129.9819786483422</v>
      </c>
    </row>
    <row r="169" spans="1:4">
      <c r="A169">
        <v>106</v>
      </c>
      <c r="B169">
        <v>664162.49</v>
      </c>
      <c r="C169">
        <v>666835.85513683967</v>
      </c>
      <c r="D169">
        <v>-2673.3651368396822</v>
      </c>
    </row>
    <row r="170" spans="1:4">
      <c r="A170">
        <v>85</v>
      </c>
      <c r="B170">
        <v>450711.92</v>
      </c>
      <c r="C170">
        <v>453778.93492034497</v>
      </c>
      <c r="D170">
        <v>-3067.0149203449837</v>
      </c>
    </row>
    <row r="171" spans="1:4">
      <c r="A171">
        <v>285</v>
      </c>
      <c r="B171">
        <v>668459.37</v>
      </c>
      <c r="C171">
        <v>671760.0610181418</v>
      </c>
      <c r="D171">
        <v>-3300.6910181418061</v>
      </c>
    </row>
    <row r="172" spans="1:4">
      <c r="A172">
        <v>93</v>
      </c>
      <c r="B172">
        <v>607898.12</v>
      </c>
      <c r="C172">
        <v>611515.03792656388</v>
      </c>
      <c r="D172">
        <v>-3616.9179265638813</v>
      </c>
    </row>
    <row r="173" spans="1:4">
      <c r="A173">
        <v>268</v>
      </c>
      <c r="B173">
        <v>761122.42</v>
      </c>
      <c r="C173">
        <v>764901.47159190394</v>
      </c>
      <c r="D173">
        <v>-3779.0515919039026</v>
      </c>
    </row>
    <row r="174" spans="1:4">
      <c r="A174">
        <v>40</v>
      </c>
      <c r="B174">
        <v>592195.85</v>
      </c>
      <c r="C174">
        <v>596314.04583560769</v>
      </c>
      <c r="D174">
        <v>-4118.1958356077084</v>
      </c>
    </row>
    <row r="175" spans="1:4">
      <c r="A175">
        <v>15</v>
      </c>
      <c r="B175">
        <v>746501.09</v>
      </c>
      <c r="C175">
        <v>750718.99745055672</v>
      </c>
      <c r="D175">
        <v>-4217.9074505567551</v>
      </c>
    </row>
    <row r="176" spans="1:4">
      <c r="A176">
        <v>240</v>
      </c>
      <c r="B176">
        <v>647953.78</v>
      </c>
      <c r="C176">
        <v>652333.87616259349</v>
      </c>
      <c r="D176">
        <v>-4380.0961625934578</v>
      </c>
    </row>
    <row r="177" spans="1:4">
      <c r="A177">
        <v>280</v>
      </c>
      <c r="B177">
        <v>702068.92</v>
      </c>
      <c r="C177">
        <v>706585.2969348476</v>
      </c>
      <c r="D177">
        <v>-4516.3769348475616</v>
      </c>
    </row>
    <row r="178" spans="1:4">
      <c r="A178">
        <v>39</v>
      </c>
      <c r="B178">
        <v>828623.85</v>
      </c>
      <c r="C178">
        <v>833547.72132875398</v>
      </c>
      <c r="D178">
        <v>-4923.8713287540013</v>
      </c>
    </row>
    <row r="179" spans="1:4">
      <c r="A179">
        <v>130</v>
      </c>
      <c r="B179">
        <v>593247.25</v>
      </c>
      <c r="C179">
        <v>598522.00612545107</v>
      </c>
      <c r="D179">
        <v>-5274.7561254510656</v>
      </c>
    </row>
    <row r="180" spans="1:4">
      <c r="A180">
        <v>165</v>
      </c>
      <c r="B180">
        <v>679731.57</v>
      </c>
      <c r="C180">
        <v>685133.35284974158</v>
      </c>
      <c r="D180">
        <v>-5401.782849741634</v>
      </c>
    </row>
    <row r="181" spans="1:4">
      <c r="A181">
        <v>122</v>
      </c>
      <c r="B181">
        <v>842439.67</v>
      </c>
      <c r="C181">
        <v>848037.73104024935</v>
      </c>
      <c r="D181">
        <v>-5598.0610402493039</v>
      </c>
    </row>
    <row r="182" spans="1:4">
      <c r="A182">
        <v>234</v>
      </c>
      <c r="B182">
        <v>763159.92</v>
      </c>
      <c r="C182">
        <v>768972.60618215823</v>
      </c>
      <c r="D182">
        <v>-5812.6861821581842</v>
      </c>
    </row>
    <row r="183" spans="1:4">
      <c r="A183">
        <v>150</v>
      </c>
      <c r="B183">
        <v>702318.94</v>
      </c>
      <c r="C183">
        <v>708376.66703561961</v>
      </c>
      <c r="D183">
        <v>-6057.7270356196677</v>
      </c>
    </row>
    <row r="184" spans="1:4">
      <c r="A184">
        <v>17</v>
      </c>
      <c r="B184">
        <v>666152.52</v>
      </c>
      <c r="C184">
        <v>672770.34773105441</v>
      </c>
      <c r="D184">
        <v>-6617.8277310543926</v>
      </c>
    </row>
    <row r="185" spans="1:4">
      <c r="A185">
        <v>218</v>
      </c>
      <c r="B185">
        <v>536545.49</v>
      </c>
      <c r="C185">
        <v>543331.23199000163</v>
      </c>
      <c r="D185">
        <v>-6785.7419900016394</v>
      </c>
    </row>
    <row r="186" spans="1:4">
      <c r="A186">
        <v>242</v>
      </c>
      <c r="B186">
        <v>764949</v>
      </c>
      <c r="C186">
        <v>771988.28610840347</v>
      </c>
      <c r="D186">
        <v>-7039.2861084034666</v>
      </c>
    </row>
    <row r="187" spans="1:4">
      <c r="A187">
        <v>214</v>
      </c>
      <c r="B187">
        <v>672670.54</v>
      </c>
      <c r="C187">
        <v>680767.64604556793</v>
      </c>
      <c r="D187">
        <v>-8097.1060455678962</v>
      </c>
    </row>
    <row r="188" spans="1:4">
      <c r="A188">
        <v>126</v>
      </c>
      <c r="B188">
        <v>801830.35</v>
      </c>
      <c r="C188">
        <v>810479.72591979289</v>
      </c>
      <c r="D188">
        <v>-8649.3759197929176</v>
      </c>
    </row>
    <row r="189" spans="1:4">
      <c r="A189">
        <v>19</v>
      </c>
      <c r="B189">
        <v>666573.19999999995</v>
      </c>
      <c r="C189">
        <v>675363.60222967656</v>
      </c>
      <c r="D189">
        <v>-8790.4022296766052</v>
      </c>
    </row>
    <row r="190" spans="1:4">
      <c r="A190">
        <v>94</v>
      </c>
      <c r="B190">
        <v>691113.62</v>
      </c>
      <c r="C190">
        <v>700341.86607231968</v>
      </c>
      <c r="D190">
        <v>-9228.2460723196855</v>
      </c>
    </row>
    <row r="191" spans="1:4">
      <c r="A191">
        <v>212</v>
      </c>
      <c r="B191">
        <v>606278.30000000005</v>
      </c>
      <c r="C191">
        <v>615718.00448254566</v>
      </c>
      <c r="D191">
        <v>-9439.7044825456105</v>
      </c>
    </row>
    <row r="192" spans="1:4">
      <c r="A192">
        <v>27</v>
      </c>
      <c r="B192">
        <v>783672.82</v>
      </c>
      <c r="C192">
        <v>794201.77942367119</v>
      </c>
      <c r="D192">
        <v>-10528.959423671244</v>
      </c>
    </row>
    <row r="193" spans="1:4">
      <c r="A193">
        <v>290</v>
      </c>
      <c r="B193">
        <v>724346.73</v>
      </c>
      <c r="C193">
        <v>735134.28882009967</v>
      </c>
      <c r="D193">
        <v>-10787.558820099686</v>
      </c>
    </row>
    <row r="194" spans="1:4">
      <c r="A194">
        <v>75</v>
      </c>
      <c r="B194">
        <v>643657.47</v>
      </c>
      <c r="C194">
        <v>654810.95242839039</v>
      </c>
      <c r="D194">
        <v>-11153.482428390416</v>
      </c>
    </row>
    <row r="195" spans="1:4">
      <c r="A195">
        <v>215</v>
      </c>
      <c r="B195">
        <v>732667.92</v>
      </c>
      <c r="C195">
        <v>743986.12776992621</v>
      </c>
      <c r="D195">
        <v>-11318.207769926172</v>
      </c>
    </row>
    <row r="196" spans="1:4">
      <c r="A196">
        <v>299</v>
      </c>
      <c r="B196">
        <v>621677.30000000005</v>
      </c>
      <c r="C196">
        <v>633452.92686005379</v>
      </c>
      <c r="D196">
        <v>-11775.626860053744</v>
      </c>
    </row>
    <row r="197" spans="1:4">
      <c r="A197">
        <v>62</v>
      </c>
      <c r="B197">
        <v>572011.19999999995</v>
      </c>
      <c r="C197">
        <v>584023.00626059331</v>
      </c>
      <c r="D197">
        <v>-12011.806260593352</v>
      </c>
    </row>
    <row r="198" spans="1:4">
      <c r="A198">
        <v>291</v>
      </c>
      <c r="B198">
        <v>730890.01</v>
      </c>
      <c r="C198">
        <v>742943.47204118036</v>
      </c>
      <c r="D198">
        <v>-12053.462041180348</v>
      </c>
    </row>
    <row r="199" spans="1:4">
      <c r="A199">
        <v>239</v>
      </c>
      <c r="B199">
        <v>642751.42000000004</v>
      </c>
      <c r="C199">
        <v>655185.98211804789</v>
      </c>
      <c r="D199">
        <v>-12434.562118047848</v>
      </c>
    </row>
    <row r="200" spans="1:4">
      <c r="A200">
        <v>263</v>
      </c>
      <c r="B200">
        <v>635837.74</v>
      </c>
      <c r="C200">
        <v>648606.47836507903</v>
      </c>
      <c r="D200">
        <v>-12768.738365079043</v>
      </c>
    </row>
    <row r="201" spans="1:4">
      <c r="A201">
        <v>31</v>
      </c>
      <c r="B201">
        <v>500173.02</v>
      </c>
      <c r="C201">
        <v>513893.54882897821</v>
      </c>
      <c r="D201">
        <v>-13720.528828978189</v>
      </c>
    </row>
    <row r="202" spans="1:4">
      <c r="A202">
        <v>297</v>
      </c>
      <c r="B202">
        <v>628538.30000000005</v>
      </c>
      <c r="C202">
        <v>642679.92945535283</v>
      </c>
      <c r="D202">
        <v>-14141.629455352784</v>
      </c>
    </row>
    <row r="203" spans="1:4">
      <c r="A203">
        <v>204</v>
      </c>
      <c r="B203">
        <v>761963.23</v>
      </c>
      <c r="C203">
        <v>776511.01297756133</v>
      </c>
      <c r="D203">
        <v>-14547.78297756135</v>
      </c>
    </row>
    <row r="204" spans="1:4">
      <c r="A204">
        <v>151</v>
      </c>
      <c r="B204">
        <v>700078.32</v>
      </c>
      <c r="C204">
        <v>714873.19462073757</v>
      </c>
      <c r="D204">
        <v>-14794.874620737624</v>
      </c>
    </row>
    <row r="205" spans="1:4">
      <c r="A205">
        <v>160</v>
      </c>
      <c r="B205">
        <v>665534.69999999995</v>
      </c>
      <c r="C205">
        <v>680475.62246365193</v>
      </c>
      <c r="D205">
        <v>-14940.922463651979</v>
      </c>
    </row>
    <row r="206" spans="1:4">
      <c r="A206">
        <v>169</v>
      </c>
      <c r="B206">
        <v>804264</v>
      </c>
      <c r="C206">
        <v>819701.86992417264</v>
      </c>
      <c r="D206">
        <v>-15437.869924172643</v>
      </c>
    </row>
    <row r="207" spans="1:4">
      <c r="A207">
        <v>128</v>
      </c>
      <c r="B207">
        <v>811452.72</v>
      </c>
      <c r="C207">
        <v>827181.15245400567</v>
      </c>
      <c r="D207">
        <v>-15728.432454005699</v>
      </c>
    </row>
    <row r="208" spans="1:4">
      <c r="A208">
        <v>203</v>
      </c>
      <c r="B208">
        <v>946833.54</v>
      </c>
      <c r="C208">
        <v>963494.91362849949</v>
      </c>
      <c r="D208">
        <v>-16661.373628499452</v>
      </c>
    </row>
    <row r="209" spans="1:4">
      <c r="A209">
        <v>178</v>
      </c>
      <c r="B209">
        <v>681855.56</v>
      </c>
      <c r="C209">
        <v>698972.65992512158</v>
      </c>
      <c r="D209">
        <v>-17117.099925121525</v>
      </c>
    </row>
    <row r="210" spans="1:4">
      <c r="A210">
        <v>38</v>
      </c>
      <c r="B210">
        <v>736633.4</v>
      </c>
      <c r="C210">
        <v>754116.81959338905</v>
      </c>
      <c r="D210">
        <v>-17483.41959338903</v>
      </c>
    </row>
    <row r="211" spans="1:4">
      <c r="A211">
        <v>18</v>
      </c>
      <c r="B211">
        <v>573155.18999999994</v>
      </c>
      <c r="C211">
        <v>590701.40584672848</v>
      </c>
      <c r="D211">
        <v>-17546.215846728534</v>
      </c>
    </row>
    <row r="212" spans="1:4">
      <c r="A212">
        <v>229</v>
      </c>
      <c r="B212">
        <v>761919.25</v>
      </c>
      <c r="C212">
        <v>780008.72435132682</v>
      </c>
      <c r="D212">
        <v>-18089.474351326819</v>
      </c>
    </row>
    <row r="213" spans="1:4">
      <c r="A213">
        <v>131</v>
      </c>
      <c r="B213">
        <v>529075.94999999995</v>
      </c>
      <c r="C213">
        <v>547439.51544701902</v>
      </c>
      <c r="D213">
        <v>-18363.565447019064</v>
      </c>
    </row>
    <row r="214" spans="1:4">
      <c r="A214">
        <v>65</v>
      </c>
      <c r="B214">
        <v>717141.55</v>
      </c>
      <c r="C214">
        <v>735793.61433261551</v>
      </c>
      <c r="D214">
        <v>-18652.064332615468</v>
      </c>
    </row>
    <row r="215" spans="1:4">
      <c r="A215">
        <v>238</v>
      </c>
      <c r="B215">
        <v>679888.74</v>
      </c>
      <c r="C215">
        <v>698729.68401795346</v>
      </c>
      <c r="D215">
        <v>-18840.944017953472</v>
      </c>
    </row>
    <row r="216" spans="1:4">
      <c r="A216">
        <v>168</v>
      </c>
      <c r="B216">
        <v>758138.29</v>
      </c>
      <c r="C216">
        <v>777443.59544303152</v>
      </c>
      <c r="D216">
        <v>-19305.305443031481</v>
      </c>
    </row>
    <row r="217" spans="1:4">
      <c r="A217">
        <v>228</v>
      </c>
      <c r="B217">
        <v>810355.02</v>
      </c>
      <c r="C217">
        <v>829782.09472956462</v>
      </c>
      <c r="D217">
        <v>-19427.0747295646</v>
      </c>
    </row>
    <row r="218" spans="1:4">
      <c r="A218">
        <v>259</v>
      </c>
      <c r="B218">
        <v>799756.46</v>
      </c>
      <c r="C218">
        <v>819188.74063591904</v>
      </c>
      <c r="D218">
        <v>-19432.280635919073</v>
      </c>
    </row>
    <row r="219" spans="1:4">
      <c r="A219">
        <v>210</v>
      </c>
      <c r="B219">
        <v>622892.42000000004</v>
      </c>
      <c r="C219">
        <v>642975.05583208892</v>
      </c>
      <c r="D219">
        <v>-20082.635832088883</v>
      </c>
    </row>
    <row r="220" spans="1:4">
      <c r="A220">
        <v>64</v>
      </c>
      <c r="B220">
        <v>784502.68</v>
      </c>
      <c r="C220">
        <v>804628.40427889535</v>
      </c>
      <c r="D220">
        <v>-20125.724278895301</v>
      </c>
    </row>
    <row r="221" spans="1:4">
      <c r="A221">
        <v>56</v>
      </c>
      <c r="B221">
        <v>518049.26</v>
      </c>
      <c r="C221">
        <v>538690.14821773209</v>
      </c>
      <c r="D221">
        <v>-20640.888217732077</v>
      </c>
    </row>
    <row r="222" spans="1:4">
      <c r="A222">
        <v>147</v>
      </c>
      <c r="B222">
        <v>785028.25</v>
      </c>
      <c r="C222">
        <v>805820.61505292659</v>
      </c>
      <c r="D222">
        <v>-20792.365052926587</v>
      </c>
    </row>
    <row r="223" spans="1:4">
      <c r="A223">
        <v>253</v>
      </c>
      <c r="B223">
        <v>708985.19</v>
      </c>
      <c r="C223">
        <v>731475.68082217325</v>
      </c>
      <c r="D223">
        <v>-22490.490822173306</v>
      </c>
    </row>
    <row r="224" spans="1:4">
      <c r="A224">
        <v>35</v>
      </c>
      <c r="B224">
        <v>800979.78</v>
      </c>
      <c r="C224">
        <v>823698.27241741412</v>
      </c>
      <c r="D224">
        <v>-22718.492417414091</v>
      </c>
    </row>
    <row r="225" spans="1:4">
      <c r="A225">
        <v>190</v>
      </c>
      <c r="B225">
        <v>574066.61</v>
      </c>
      <c r="C225">
        <v>596791.64076289325</v>
      </c>
      <c r="D225">
        <v>-22725.030762893264</v>
      </c>
    </row>
    <row r="226" spans="1:4">
      <c r="A226">
        <v>25</v>
      </c>
      <c r="B226">
        <v>811771.14</v>
      </c>
      <c r="C226">
        <v>835730.84457050764</v>
      </c>
      <c r="D226">
        <v>-23959.704570507631</v>
      </c>
    </row>
    <row r="227" spans="1:4">
      <c r="A227">
        <v>287</v>
      </c>
      <c r="B227">
        <v>599017.32999999996</v>
      </c>
      <c r="C227">
        <v>623144.02010351699</v>
      </c>
      <c r="D227">
        <v>-24126.69010351703</v>
      </c>
    </row>
    <row r="228" spans="1:4">
      <c r="A228">
        <v>140</v>
      </c>
      <c r="B228">
        <v>537058.32999999996</v>
      </c>
      <c r="C228">
        <v>561289.06447251223</v>
      </c>
      <c r="D228">
        <v>-24230.734472512268</v>
      </c>
    </row>
    <row r="229" spans="1:4">
      <c r="A229">
        <v>162</v>
      </c>
      <c r="B229">
        <v>739831.73</v>
      </c>
      <c r="C229">
        <v>764445.16443857085</v>
      </c>
      <c r="D229">
        <v>-24613.434438570868</v>
      </c>
    </row>
    <row r="230" spans="1:4">
      <c r="A230">
        <v>197</v>
      </c>
      <c r="B230">
        <v>825060.52</v>
      </c>
      <c r="C230">
        <v>849705.79022136983</v>
      </c>
      <c r="D230">
        <v>-24645.270221369807</v>
      </c>
    </row>
    <row r="231" spans="1:4">
      <c r="A231">
        <v>270</v>
      </c>
      <c r="B231">
        <v>555557.77</v>
      </c>
      <c r="C231">
        <v>580591.59303764417</v>
      </c>
      <c r="D231">
        <v>-25033.82303764415</v>
      </c>
    </row>
    <row r="232" spans="1:4">
      <c r="A232">
        <v>79</v>
      </c>
      <c r="B232">
        <v>621369.57999999996</v>
      </c>
      <c r="C232">
        <v>646561.28055554663</v>
      </c>
      <c r="D232">
        <v>-25191.700555546675</v>
      </c>
    </row>
    <row r="233" spans="1:4">
      <c r="A233">
        <v>6</v>
      </c>
      <c r="B233">
        <v>761835.34</v>
      </c>
      <c r="C233">
        <v>787871.93048632017</v>
      </c>
      <c r="D233">
        <v>-26036.590486320201</v>
      </c>
    </row>
    <row r="234" spans="1:4">
      <c r="A234">
        <v>184</v>
      </c>
      <c r="B234">
        <v>443275.59</v>
      </c>
      <c r="C234">
        <v>469378.72159407369</v>
      </c>
      <c r="D234">
        <v>-26103.131594073668</v>
      </c>
    </row>
    <row r="235" spans="1:4">
      <c r="A235">
        <v>10</v>
      </c>
      <c r="B235">
        <v>779010.94</v>
      </c>
      <c r="C235">
        <v>805631.94955528132</v>
      </c>
      <c r="D235">
        <v>-26621.009555281373</v>
      </c>
    </row>
    <row r="236" spans="1:4">
      <c r="A236">
        <v>191</v>
      </c>
      <c r="B236">
        <v>578949.84</v>
      </c>
      <c r="C236">
        <v>605824.49687377166</v>
      </c>
      <c r="D236">
        <v>-26874.656873771688</v>
      </c>
    </row>
    <row r="237" spans="1:4">
      <c r="A237">
        <v>289</v>
      </c>
      <c r="B237">
        <v>703812.99</v>
      </c>
      <c r="C237">
        <v>730688.30020196538</v>
      </c>
      <c r="D237">
        <v>-26875.310201965389</v>
      </c>
    </row>
    <row r="238" spans="1:4">
      <c r="A238">
        <v>107</v>
      </c>
      <c r="B238">
        <v>633494.21</v>
      </c>
      <c r="C238">
        <v>661569.18804643676</v>
      </c>
      <c r="D238">
        <v>-28074.978046436794</v>
      </c>
    </row>
    <row r="239" spans="1:4">
      <c r="A239">
        <v>278</v>
      </c>
      <c r="B239">
        <v>696261.49</v>
      </c>
      <c r="C239">
        <v>724857.2504279468</v>
      </c>
      <c r="D239">
        <v>-28595.760427946807</v>
      </c>
    </row>
    <row r="240" spans="1:4">
      <c r="A240">
        <v>159</v>
      </c>
      <c r="B240">
        <v>706285.52</v>
      </c>
      <c r="C240">
        <v>736421.91434277792</v>
      </c>
      <c r="D240">
        <v>-30136.394342777901</v>
      </c>
    </row>
    <row r="241" spans="1:4">
      <c r="A241">
        <v>78</v>
      </c>
      <c r="B241">
        <v>636561.34</v>
      </c>
      <c r="C241">
        <v>666714.39297959104</v>
      </c>
      <c r="D241">
        <v>-30153.05297959107</v>
      </c>
    </row>
    <row r="242" spans="1:4">
      <c r="A242">
        <v>167</v>
      </c>
      <c r="B242">
        <v>721364.11</v>
      </c>
      <c r="C242">
        <v>751872.8610456977</v>
      </c>
      <c r="D242">
        <v>-30508.751045697718</v>
      </c>
    </row>
    <row r="243" spans="1:4">
      <c r="A243">
        <v>143</v>
      </c>
      <c r="B243">
        <v>614024.91</v>
      </c>
      <c r="C243">
        <v>645005.53360447707</v>
      </c>
      <c r="D243">
        <v>-30980.623604477034</v>
      </c>
    </row>
    <row r="244" spans="1:4">
      <c r="A244">
        <v>193</v>
      </c>
      <c r="B244">
        <v>598904.9</v>
      </c>
      <c r="C244">
        <v>631845.77084786957</v>
      </c>
      <c r="D244">
        <v>-32940.870847869548</v>
      </c>
    </row>
    <row r="245" spans="1:4">
      <c r="A245">
        <v>281</v>
      </c>
      <c r="B245">
        <v>546223.69999999995</v>
      </c>
      <c r="C245">
        <v>579839.54958344949</v>
      </c>
      <c r="D245">
        <v>-33615.849583449541</v>
      </c>
    </row>
    <row r="246" spans="1:4">
      <c r="A246">
        <v>45</v>
      </c>
      <c r="B246">
        <v>599603.4</v>
      </c>
      <c r="C246">
        <v>634255.46052707534</v>
      </c>
      <c r="D246">
        <v>-34652.060527075315</v>
      </c>
    </row>
    <row r="247" spans="1:4">
      <c r="A247">
        <v>119</v>
      </c>
      <c r="B247">
        <v>557487.26</v>
      </c>
      <c r="C247">
        <v>592530.53751606017</v>
      </c>
      <c r="D247">
        <v>-35043.27751606016</v>
      </c>
    </row>
    <row r="248" spans="1:4">
      <c r="A248">
        <v>306</v>
      </c>
      <c r="B248">
        <v>559660.84</v>
      </c>
      <c r="C248">
        <v>594846.60710186849</v>
      </c>
      <c r="D248">
        <v>-35185.767101868521</v>
      </c>
    </row>
    <row r="249" spans="1:4">
      <c r="A249">
        <v>69</v>
      </c>
      <c r="B249">
        <v>479050.5</v>
      </c>
      <c r="C249">
        <v>514334.15548510029</v>
      </c>
      <c r="D249">
        <v>-35283.655485100287</v>
      </c>
    </row>
    <row r="250" spans="1:4">
      <c r="A250">
        <v>48</v>
      </c>
      <c r="B250">
        <v>622811.74</v>
      </c>
      <c r="C250">
        <v>658100.94591789879</v>
      </c>
      <c r="D250">
        <v>-35289.205917898798</v>
      </c>
    </row>
    <row r="251" spans="1:4">
      <c r="A251">
        <v>139</v>
      </c>
      <c r="B251">
        <v>577732.56999999995</v>
      </c>
      <c r="C251">
        <v>613164.52785295167</v>
      </c>
      <c r="D251">
        <v>-35431.957852951717</v>
      </c>
    </row>
    <row r="252" spans="1:4">
      <c r="A252">
        <v>57</v>
      </c>
      <c r="B252">
        <v>500298.48</v>
      </c>
      <c r="C252">
        <v>536183.96212673921</v>
      </c>
      <c r="D252">
        <v>-35885.482126739225</v>
      </c>
    </row>
    <row r="253" spans="1:4">
      <c r="A253">
        <v>74</v>
      </c>
      <c r="B253">
        <v>680840.36</v>
      </c>
      <c r="C253">
        <v>717397.88536368473</v>
      </c>
      <c r="D253">
        <v>-36557.525363684748</v>
      </c>
    </row>
    <row r="254" spans="1:4">
      <c r="A254">
        <v>298</v>
      </c>
      <c r="B254">
        <v>536524.84</v>
      </c>
      <c r="C254">
        <v>575268.37930181168</v>
      </c>
      <c r="D254">
        <v>-38743.539301811717</v>
      </c>
    </row>
    <row r="255" spans="1:4">
      <c r="A255">
        <v>55</v>
      </c>
      <c r="B255">
        <v>487464.91</v>
      </c>
      <c r="C255">
        <v>526319.43102271855</v>
      </c>
      <c r="D255">
        <v>-38854.521022718574</v>
      </c>
    </row>
    <row r="256" spans="1:4">
      <c r="A256">
        <v>186</v>
      </c>
      <c r="B256">
        <v>643428.85</v>
      </c>
      <c r="C256">
        <v>682478.65520740533</v>
      </c>
      <c r="D256">
        <v>-39049.805207405356</v>
      </c>
    </row>
    <row r="257" spans="1:4">
      <c r="A257">
        <v>237</v>
      </c>
      <c r="B257">
        <v>679230.86</v>
      </c>
      <c r="C257">
        <v>719782.32026645436</v>
      </c>
      <c r="D257">
        <v>-40551.460266454378</v>
      </c>
    </row>
    <row r="258" spans="1:4">
      <c r="A258">
        <v>216</v>
      </c>
      <c r="B258">
        <v>723531.4</v>
      </c>
      <c r="C258">
        <v>764448.73436352052</v>
      </c>
      <c r="D258">
        <v>-40917.334363520495</v>
      </c>
    </row>
    <row r="259" spans="1:4">
      <c r="A259">
        <v>112</v>
      </c>
      <c r="B259">
        <v>718074.79</v>
      </c>
      <c r="C259">
        <v>759363.61825781106</v>
      </c>
      <c r="D259">
        <v>-41288.828257811023</v>
      </c>
    </row>
    <row r="260" spans="1:4">
      <c r="A260">
        <v>245</v>
      </c>
      <c r="B260">
        <v>612390.14</v>
      </c>
      <c r="C260">
        <v>654390.29968304955</v>
      </c>
      <c r="D260">
        <v>-42000.15968304954</v>
      </c>
    </row>
    <row r="261" spans="1:4">
      <c r="A261">
        <v>11</v>
      </c>
      <c r="B261">
        <v>723060.76</v>
      </c>
      <c r="C261">
        <v>765775.96866355813</v>
      </c>
      <c r="D261">
        <v>-42715.208663558122</v>
      </c>
    </row>
    <row r="262" spans="1:4">
      <c r="A262">
        <v>269</v>
      </c>
      <c r="B262">
        <v>524899.56999999995</v>
      </c>
      <c r="C262">
        <v>568409.50415218598</v>
      </c>
      <c r="D262">
        <v>-43509.934152186033</v>
      </c>
    </row>
    <row r="263" spans="1:4">
      <c r="A263">
        <v>152</v>
      </c>
      <c r="B263">
        <v>602002.31999999995</v>
      </c>
      <c r="C263">
        <v>646065.74888768769</v>
      </c>
      <c r="D263">
        <v>-44063.42888768774</v>
      </c>
    </row>
    <row r="264" spans="1:4">
      <c r="A264">
        <v>219</v>
      </c>
      <c r="B264">
        <v>527681.56000000006</v>
      </c>
      <c r="C264">
        <v>571815.46592255123</v>
      </c>
      <c r="D264">
        <v>-44133.905922551174</v>
      </c>
    </row>
    <row r="265" spans="1:4">
      <c r="A265">
        <v>1</v>
      </c>
      <c r="B265">
        <v>658832.62</v>
      </c>
      <c r="C265">
        <v>703390.96465431189</v>
      </c>
      <c r="D265">
        <v>-44558.344654311892</v>
      </c>
    </row>
    <row r="266" spans="1:4">
      <c r="A266">
        <v>196</v>
      </c>
      <c r="B266">
        <v>650795.49</v>
      </c>
      <c r="C266">
        <v>695828.83471780107</v>
      </c>
      <c r="D266">
        <v>-45033.344717801083</v>
      </c>
    </row>
    <row r="267" spans="1:4">
      <c r="A267">
        <v>222</v>
      </c>
      <c r="B267">
        <v>596969.27</v>
      </c>
      <c r="C267">
        <v>642235.02679334197</v>
      </c>
      <c r="D267">
        <v>-45265.756793341949</v>
      </c>
    </row>
    <row r="268" spans="1:4">
      <c r="A268">
        <v>296</v>
      </c>
      <c r="B268">
        <v>651164.18000000005</v>
      </c>
      <c r="C268">
        <v>697101.34948899469</v>
      </c>
      <c r="D268">
        <v>-45937.169488994638</v>
      </c>
    </row>
    <row r="269" spans="1:4">
      <c r="A269">
        <v>98</v>
      </c>
      <c r="B269">
        <v>586626.93999999994</v>
      </c>
      <c r="C269">
        <v>633019.80587349937</v>
      </c>
      <c r="D269">
        <v>-46392.865873499424</v>
      </c>
    </row>
    <row r="270" spans="1:4">
      <c r="A270">
        <v>37</v>
      </c>
      <c r="B270">
        <v>718330.53</v>
      </c>
      <c r="C270">
        <v>765144.15332511324</v>
      </c>
      <c r="D270">
        <v>-46813.623325113207</v>
      </c>
    </row>
    <row r="271" spans="1:4">
      <c r="A271">
        <v>14</v>
      </c>
      <c r="B271">
        <v>726606.28</v>
      </c>
      <c r="C271">
        <v>773525.31110836274</v>
      </c>
      <c r="D271">
        <v>-46919.031108362717</v>
      </c>
    </row>
    <row r="272" spans="1:4">
      <c r="A272">
        <v>149</v>
      </c>
      <c r="B272">
        <v>685830.24</v>
      </c>
      <c r="C272">
        <v>733252.1280535293</v>
      </c>
      <c r="D272">
        <v>-47421.888053529314</v>
      </c>
    </row>
    <row r="273" spans="1:4">
      <c r="A273">
        <v>155</v>
      </c>
      <c r="B273">
        <v>650480.06000000006</v>
      </c>
      <c r="C273">
        <v>698907.92271919607</v>
      </c>
      <c r="D273">
        <v>-48427.862719196011</v>
      </c>
    </row>
    <row r="274" spans="1:4">
      <c r="A274">
        <v>117</v>
      </c>
      <c r="B274">
        <v>509484.81</v>
      </c>
      <c r="C274">
        <v>560333.04307916819</v>
      </c>
      <c r="D274">
        <v>-50848.233079168189</v>
      </c>
    </row>
    <row r="275" spans="1:4">
      <c r="A275">
        <v>129</v>
      </c>
      <c r="B275">
        <v>527300.13</v>
      </c>
      <c r="C275">
        <v>578156.46262330795</v>
      </c>
      <c r="D275">
        <v>-50856.332623307942</v>
      </c>
    </row>
    <row r="276" spans="1:4">
      <c r="A276">
        <v>303</v>
      </c>
      <c r="B276">
        <v>620264.19999999995</v>
      </c>
      <c r="C276">
        <v>672705.04267018696</v>
      </c>
      <c r="D276">
        <v>-52440.842670187005</v>
      </c>
    </row>
    <row r="277" spans="1:4">
      <c r="A277">
        <v>185</v>
      </c>
      <c r="B277">
        <v>554012.06999999995</v>
      </c>
      <c r="C277">
        <v>608866.98336882412</v>
      </c>
      <c r="D277">
        <v>-54854.913368824171</v>
      </c>
    </row>
    <row r="278" spans="1:4">
      <c r="A278">
        <v>115</v>
      </c>
      <c r="B278">
        <v>684217.32</v>
      </c>
      <c r="C278">
        <v>740341.03687299986</v>
      </c>
      <c r="D278">
        <v>-56123.71687299991</v>
      </c>
    </row>
    <row r="279" spans="1:4">
      <c r="A279">
        <v>5</v>
      </c>
      <c r="B279">
        <v>741341.44</v>
      </c>
      <c r="C279">
        <v>798881.83759765094</v>
      </c>
      <c r="D279">
        <v>-57540.397597650997</v>
      </c>
    </row>
    <row r="280" spans="1:4">
      <c r="A280">
        <v>111</v>
      </c>
      <c r="B280">
        <v>697287.9</v>
      </c>
      <c r="C280">
        <v>755695.73314779275</v>
      </c>
      <c r="D280">
        <v>-58407.833147792728</v>
      </c>
    </row>
    <row r="281" spans="1:4">
      <c r="A281">
        <v>72</v>
      </c>
      <c r="B281">
        <v>630829.93999999994</v>
      </c>
      <c r="C281">
        <v>690505.33352725406</v>
      </c>
      <c r="D281">
        <v>-59675.393527254113</v>
      </c>
    </row>
    <row r="282" spans="1:4">
      <c r="A282">
        <v>220</v>
      </c>
      <c r="B282">
        <v>570963.31000000006</v>
      </c>
      <c r="C282">
        <v>631661.17197061912</v>
      </c>
      <c r="D282">
        <v>-60697.861970619066</v>
      </c>
    </row>
    <row r="283" spans="1:4">
      <c r="A283">
        <v>195</v>
      </c>
      <c r="B283">
        <v>607084.92000000004</v>
      </c>
      <c r="C283">
        <v>668804.39456946938</v>
      </c>
      <c r="D283">
        <v>-61719.474569469341</v>
      </c>
    </row>
    <row r="284" spans="1:4">
      <c r="A284">
        <v>265</v>
      </c>
      <c r="B284">
        <v>673076.34</v>
      </c>
      <c r="C284">
        <v>737769.10501200985</v>
      </c>
      <c r="D284">
        <v>-64692.765012009884</v>
      </c>
    </row>
    <row r="285" spans="1:4">
      <c r="A285">
        <v>120</v>
      </c>
      <c r="B285">
        <v>441275.42</v>
      </c>
      <c r="C285">
        <v>508355.87176421721</v>
      </c>
      <c r="D285">
        <v>-67080.451764217229</v>
      </c>
    </row>
    <row r="286" spans="1:4">
      <c r="A286">
        <v>163</v>
      </c>
      <c r="B286">
        <v>593637.14</v>
      </c>
      <c r="C286">
        <v>661120.44939569815</v>
      </c>
      <c r="D286">
        <v>-67483.309395698132</v>
      </c>
    </row>
    <row r="287" spans="1:4">
      <c r="A287">
        <v>127</v>
      </c>
      <c r="B287">
        <v>725235.28</v>
      </c>
      <c r="C287">
        <v>793162.45839536632</v>
      </c>
      <c r="D287">
        <v>-67927.178395366296</v>
      </c>
    </row>
    <row r="288" spans="1:4">
      <c r="A288">
        <v>2</v>
      </c>
      <c r="B288">
        <v>634436</v>
      </c>
      <c r="C288">
        <v>705489.04984880623</v>
      </c>
      <c r="D288">
        <v>-71053.049848806229</v>
      </c>
    </row>
    <row r="289" spans="1:4">
      <c r="A289">
        <v>58</v>
      </c>
      <c r="B289">
        <v>617291.15</v>
      </c>
      <c r="C289">
        <v>688550.34744788008</v>
      </c>
      <c r="D289">
        <v>-71259.197447880055</v>
      </c>
    </row>
    <row r="290" spans="1:4">
      <c r="A290">
        <v>32</v>
      </c>
      <c r="B290">
        <v>427917.38</v>
      </c>
      <c r="C290">
        <v>499254.43670829211</v>
      </c>
      <c r="D290">
        <v>-71337.056708292104</v>
      </c>
    </row>
    <row r="291" spans="1:4">
      <c r="A291">
        <v>29</v>
      </c>
      <c r="B291">
        <v>511844.41</v>
      </c>
      <c r="C291">
        <v>585105.90989368455</v>
      </c>
      <c r="D291">
        <v>-73261.49989368458</v>
      </c>
    </row>
    <row r="292" spans="1:4">
      <c r="A292">
        <v>288</v>
      </c>
      <c r="B292">
        <v>401582.58</v>
      </c>
      <c r="C292">
        <v>475203.39720989089</v>
      </c>
      <c r="D292">
        <v>-73620.817209890869</v>
      </c>
    </row>
    <row r="293" spans="1:4">
      <c r="A293">
        <v>59</v>
      </c>
      <c r="B293">
        <v>553756.43000000005</v>
      </c>
      <c r="C293">
        <v>627421.80630114628</v>
      </c>
      <c r="D293">
        <v>-73665.376301146229</v>
      </c>
    </row>
    <row r="294" spans="1:4">
      <c r="A294">
        <v>227</v>
      </c>
      <c r="B294">
        <v>721079.35</v>
      </c>
      <c r="C294">
        <v>796642.02137370058</v>
      </c>
      <c r="D294">
        <v>-75562.671373700607</v>
      </c>
    </row>
    <row r="295" spans="1:4">
      <c r="A295">
        <v>199</v>
      </c>
      <c r="B295">
        <v>671868.59</v>
      </c>
      <c r="C295">
        <v>747822.42326701304</v>
      </c>
      <c r="D295">
        <v>-75953.833267013077</v>
      </c>
    </row>
    <row r="296" spans="1:4">
      <c r="A296">
        <v>3</v>
      </c>
      <c r="B296">
        <v>678722.06</v>
      </c>
      <c r="C296">
        <v>755757.03634833929</v>
      </c>
      <c r="D296">
        <v>-77034.976348339231</v>
      </c>
    </row>
    <row r="297" spans="1:4">
      <c r="A297">
        <v>21</v>
      </c>
      <c r="B297">
        <v>415721.82</v>
      </c>
      <c r="C297">
        <v>500490.55610907392</v>
      </c>
      <c r="D297">
        <v>-84768.736109073914</v>
      </c>
    </row>
    <row r="298" spans="1:4">
      <c r="A298">
        <v>202</v>
      </c>
      <c r="B298">
        <v>691288.19</v>
      </c>
      <c r="C298">
        <v>776479.33177838486</v>
      </c>
      <c r="D298">
        <v>-85191.141778384917</v>
      </c>
    </row>
    <row r="299" spans="1:4">
      <c r="A299">
        <v>294</v>
      </c>
      <c r="B299">
        <v>538376</v>
      </c>
      <c r="C299">
        <v>625249.89415873471</v>
      </c>
      <c r="D299">
        <v>-86873.894158734707</v>
      </c>
    </row>
    <row r="300" spans="1:4">
      <c r="A300">
        <v>200</v>
      </c>
      <c r="B300">
        <v>675917.63</v>
      </c>
      <c r="C300">
        <v>766429.36474685138</v>
      </c>
      <c r="D300">
        <v>-90511.734746851376</v>
      </c>
    </row>
    <row r="301" spans="1:4">
      <c r="A301">
        <v>260</v>
      </c>
      <c r="B301">
        <v>593343</v>
      </c>
      <c r="C301">
        <v>684594.81319645606</v>
      </c>
      <c r="D301">
        <v>-91251.81319645606</v>
      </c>
    </row>
    <row r="302" spans="1:4">
      <c r="A302">
        <v>52</v>
      </c>
      <c r="B302">
        <v>463534.25</v>
      </c>
      <c r="C302">
        <v>555483.16084897856</v>
      </c>
      <c r="D302">
        <v>-91948.910848978558</v>
      </c>
    </row>
    <row r="303" spans="1:4">
      <c r="A303">
        <v>257</v>
      </c>
      <c r="B303">
        <v>660633.99</v>
      </c>
      <c r="C303">
        <v>752748.61168047227</v>
      </c>
      <c r="D303">
        <v>-92114.621680472279</v>
      </c>
    </row>
    <row r="304" spans="1:4">
      <c r="A304">
        <v>4</v>
      </c>
      <c r="B304">
        <v>658920.30000000005</v>
      </c>
      <c r="C304">
        <v>759682.31234356458</v>
      </c>
      <c r="D304">
        <v>-100762.01234356454</v>
      </c>
    </row>
    <row r="305" spans="1:4">
      <c r="A305">
        <v>26</v>
      </c>
      <c r="B305">
        <v>800451.94</v>
      </c>
      <c r="C305">
        <v>902183.86243587406</v>
      </c>
      <c r="D305">
        <v>-101731.92243587412</v>
      </c>
    </row>
    <row r="306" spans="1:4">
      <c r="A306">
        <v>33</v>
      </c>
      <c r="B306">
        <v>641865.03</v>
      </c>
      <c r="C306">
        <v>746610.0035052083</v>
      </c>
      <c r="D306">
        <v>-104744.97350520827</v>
      </c>
    </row>
    <row r="307" spans="1:4">
      <c r="A307">
        <v>44</v>
      </c>
      <c r="B307">
        <v>595467.6</v>
      </c>
      <c r="C307">
        <v>715597.90339645767</v>
      </c>
      <c r="D307">
        <v>-120130.30339645769</v>
      </c>
    </row>
    <row r="308" spans="1:4">
      <c r="A308">
        <v>87</v>
      </c>
      <c r="B308">
        <v>627171.9</v>
      </c>
      <c r="C308">
        <v>749758.6359530515</v>
      </c>
      <c r="D308">
        <v>-122586.73595305148</v>
      </c>
    </row>
    <row r="309" spans="1:4" ht="15.75" thickBot="1">
      <c r="A309" s="3">
        <v>66</v>
      </c>
      <c r="B309">
        <v>685379.08</v>
      </c>
      <c r="C309" s="3">
        <v>841983.82738020818</v>
      </c>
      <c r="D309" s="3">
        <v>-156604.74738020822</v>
      </c>
    </row>
  </sheetData>
  <sortState xmlns:xlrd2="http://schemas.microsoft.com/office/spreadsheetml/2017/richdata2" ref="A4:D309">
    <sortCondition descending="1" ref="D4:D309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73A5-B202-4129-A513-51555898FDEF}">
  <dimension ref="A1:D14"/>
  <sheetViews>
    <sheetView workbookViewId="0"/>
  </sheetViews>
  <sheetFormatPr defaultRowHeight="15"/>
  <cols>
    <col min="1" max="1" width="31.7109375" bestFit="1" customWidth="1"/>
    <col min="2" max="2" width="29.7109375" bestFit="1" customWidth="1"/>
    <col min="3" max="3" width="27" bestFit="1" customWidth="1"/>
    <col min="4" max="4" width="38.28515625" bestFit="1" customWidth="1"/>
  </cols>
  <sheetData>
    <row r="1" spans="1:4">
      <c r="A1" t="s">
        <v>154</v>
      </c>
      <c r="B1" s="13"/>
      <c r="C1" s="13"/>
      <c r="D1" s="13"/>
    </row>
    <row r="2" spans="1:4" ht="15.75" thickBot="1"/>
    <row r="3" spans="1:4" ht="15.75" thickBot="1">
      <c r="A3" s="6" t="s">
        <v>134</v>
      </c>
      <c r="B3" s="6" t="s">
        <v>135</v>
      </c>
      <c r="C3" s="6" t="s">
        <v>136</v>
      </c>
      <c r="D3" s="6" t="s">
        <v>137</v>
      </c>
    </row>
    <row r="4" spans="1:4" ht="15.75" thickBot="1">
      <c r="A4" s="6" t="s">
        <v>140</v>
      </c>
      <c r="B4">
        <v>0.15742646124543552</v>
      </c>
      <c r="C4">
        <v>0.73484316730369015</v>
      </c>
      <c r="D4">
        <v>0.81469603689072889</v>
      </c>
    </row>
    <row r="5" spans="1:4" ht="15.75" thickBot="1">
      <c r="A5" s="6" t="s">
        <v>141</v>
      </c>
      <c r="B5">
        <v>0.15465483776269026</v>
      </c>
      <c r="C5">
        <v>0.73397094088034698</v>
      </c>
      <c r="D5">
        <v>0.81097756271462307</v>
      </c>
    </row>
    <row r="6" spans="1:4" ht="15.75" thickBot="1">
      <c r="A6" s="6" t="s">
        <v>108</v>
      </c>
      <c r="B6">
        <v>94635.423763365616</v>
      </c>
      <c r="C6">
        <v>53088.595341199594</v>
      </c>
      <c r="D6">
        <v>44750.03452683083</v>
      </c>
    </row>
    <row r="7" spans="1:4" ht="15.75" thickBot="1">
      <c r="A7" s="6" t="s">
        <v>138</v>
      </c>
      <c r="B7" s="3">
        <v>306</v>
      </c>
      <c r="C7" s="3">
        <v>306</v>
      </c>
      <c r="D7" s="3">
        <v>306</v>
      </c>
    </row>
    <row r="8" spans="1:4" ht="15.75" thickBot="1">
      <c r="A8" s="6" t="s">
        <v>114</v>
      </c>
      <c r="B8" t="s">
        <v>142</v>
      </c>
      <c r="C8" t="s">
        <v>144</v>
      </c>
      <c r="D8" t="s">
        <v>146</v>
      </c>
    </row>
    <row r="9" spans="1:4" ht="15.75" thickBot="1">
      <c r="A9" s="8" t="s">
        <v>4</v>
      </c>
      <c r="B9" s="3" t="s">
        <v>143</v>
      </c>
      <c r="C9" s="7" t="s">
        <v>139</v>
      </c>
      <c r="D9" t="s">
        <v>147</v>
      </c>
    </row>
    <row r="10" spans="1:4" ht="15.75" thickBot="1">
      <c r="A10" s="8" t="s">
        <v>5</v>
      </c>
      <c r="B10" s="7" t="s">
        <v>139</v>
      </c>
      <c r="C10" s="3" t="s">
        <v>145</v>
      </c>
      <c r="D10" t="s">
        <v>148</v>
      </c>
    </row>
    <row r="11" spans="1:4" ht="15.75" thickBot="1">
      <c r="A11" s="8" t="s">
        <v>8</v>
      </c>
      <c r="B11" s="7" t="s">
        <v>139</v>
      </c>
      <c r="C11" s="7" t="s">
        <v>139</v>
      </c>
      <c r="D11" t="s">
        <v>150</v>
      </c>
    </row>
    <row r="12" spans="1:4" ht="15.75" thickBot="1">
      <c r="A12" s="8" t="s">
        <v>102</v>
      </c>
      <c r="B12" s="7" t="s">
        <v>139</v>
      </c>
      <c r="C12" s="7" t="s">
        <v>139</v>
      </c>
      <c r="D12" s="11" t="s">
        <v>151</v>
      </c>
    </row>
    <row r="13" spans="1:4" ht="15.75" thickBot="1">
      <c r="A13" s="8" t="s">
        <v>131</v>
      </c>
      <c r="B13" s="7" t="s">
        <v>139</v>
      </c>
      <c r="C13" s="7" t="s">
        <v>139</v>
      </c>
      <c r="D13" s="11" t="s">
        <v>152</v>
      </c>
    </row>
    <row r="14" spans="1:4" ht="15.75" thickBot="1">
      <c r="A14" s="8" t="s">
        <v>132</v>
      </c>
      <c r="B14" s="7" t="s">
        <v>139</v>
      </c>
      <c r="C14" s="7" t="s">
        <v>139</v>
      </c>
      <c r="D14" s="1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 Sheet</vt:lpstr>
      <vt:lpstr>Cleaned Data Sheet</vt:lpstr>
      <vt:lpstr>Dummy Variable Sheet</vt:lpstr>
      <vt:lpstr>Single Regression Outputs1</vt:lpstr>
      <vt:lpstr>Single Regression Outputs2</vt:lpstr>
      <vt:lpstr>Multiple Regression Outputs</vt:lpstr>
      <vt:lpstr>Predictions and Residuals Sheet</vt:lpstr>
      <vt:lpstr>Model Comparison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Budhia</dc:creator>
  <cp:lastModifiedBy>Parth Budhia</cp:lastModifiedBy>
  <dcterms:created xsi:type="dcterms:W3CDTF">2026-06-23T20:41:35Z</dcterms:created>
  <dcterms:modified xsi:type="dcterms:W3CDTF">2026-06-24T15:16:22Z</dcterms:modified>
</cp:coreProperties>
</file>